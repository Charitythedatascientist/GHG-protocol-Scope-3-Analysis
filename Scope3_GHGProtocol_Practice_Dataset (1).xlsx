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arity.ngari\Downloads\"/>
    </mc:Choice>
  </mc:AlternateContent>
  <xr:revisionPtr revIDLastSave="0" documentId="13_ncr:1_{55E035B5-BB8B-4F0B-B153-D67E3301341D}" xr6:coauthVersionLast="47" xr6:coauthVersionMax="47" xr10:uidLastSave="{00000000-0000-0000-0000-000000000000}"/>
  <bookViews>
    <workbookView xWindow="-120" yWindow="-120" windowWidth="20730" windowHeight="11040" xr2:uid="{00000000-000D-0000-FFFF-FFFF00000000}"/>
  </bookViews>
  <sheets>
    <sheet name="Dashboard" sheetId="18" r:id="rId1"/>
    <sheet name="Exec Summary" sheetId="17" r:id="rId2"/>
    <sheet name="Cat 1 – Purchased Goods &amp; Se" sheetId="1" r:id="rId3"/>
    <sheet name="Cat 2 – Capital Goods" sheetId="2" r:id="rId4"/>
    <sheet name="Cat 3 – Fuel- and Energy-Rel" sheetId="3" r:id="rId5"/>
    <sheet name="Cat 4 – Upstream Transportat" sheetId="4" r:id="rId6"/>
    <sheet name="Cat 5 – Waste Generated in O" sheetId="5" r:id="rId7"/>
    <sheet name="Cat 6 – Business Travel" sheetId="6" r:id="rId8"/>
    <sheet name="Cat 7 – Employee Commuting" sheetId="7" r:id="rId9"/>
    <sheet name="Cat 8 – Upstream Leased Asse" sheetId="8" r:id="rId10"/>
    <sheet name="Cat 9 – Downstream Transport" sheetId="9" r:id="rId11"/>
    <sheet name="Cat 10 – Processing of Sold P" sheetId="10" r:id="rId12"/>
    <sheet name="Cat 11 – Use of Sold Products" sheetId="11" r:id="rId13"/>
    <sheet name="Cat 12 – End-of-Life Treatmen" sheetId="12" r:id="rId14"/>
    <sheet name="Cat 13 – Downstream Leased As" sheetId="13" r:id="rId15"/>
    <sheet name="Cat 14 – Franchises" sheetId="14" r:id="rId16"/>
    <sheet name="Cat 15 – Investments" sheetId="15" r:id="rId17"/>
    <sheet name="Summary – Definitions &amp; Methods" sheetId="16" r:id="rId18"/>
  </sheets>
  <definedNames>
    <definedName name="_xlnm._FilterDatabase" localSheetId="2" hidden="1">'Cat 1 – Purchased Goods &amp; Se'!$A$3:$T$3</definedName>
    <definedName name="_xlnm._FilterDatabase" localSheetId="11" hidden="1">'Cat 10 – Processing of Sold P'!$A$3:$P$3</definedName>
    <definedName name="_xlnm._FilterDatabase" localSheetId="12" hidden="1">'Cat 11 – Use of Sold Products'!$A$3:$S$3</definedName>
    <definedName name="_xlnm._FilterDatabase" localSheetId="13" hidden="1">'Cat 12 – End-of-Life Treatmen'!$A$3:$T$3</definedName>
    <definedName name="_xlnm._FilterDatabase" localSheetId="14" hidden="1">'Cat 13 – Downstream Leased As'!$A$3:$T$3</definedName>
    <definedName name="_xlnm._FilterDatabase" localSheetId="15" hidden="1">'Cat 14 – Franchises'!$A$3:$T$3</definedName>
    <definedName name="_xlnm._FilterDatabase" localSheetId="16" hidden="1">'Cat 15 – Investments'!$A$3:$S$3</definedName>
    <definedName name="_xlnm._FilterDatabase" localSheetId="3" hidden="1">'Cat 2 – Capital Goods'!$A$3:$Q$3</definedName>
    <definedName name="_xlnm._FilterDatabase" localSheetId="4" hidden="1">'Cat 3 – Fuel- and Energy-Rel'!$A$3:$Q$3</definedName>
    <definedName name="_xlnm._FilterDatabase" localSheetId="5" hidden="1">'Cat 4 – Upstream Transportat'!$A$3:$T$3</definedName>
    <definedName name="_xlnm._FilterDatabase" localSheetId="6" hidden="1">'Cat 5 – Waste Generated in O'!$A$3:$Q$3</definedName>
    <definedName name="_xlnm._FilterDatabase" localSheetId="7" hidden="1">'Cat 6 – Business Travel'!$A$3:$T$3</definedName>
    <definedName name="_xlnm._FilterDatabase" localSheetId="8" hidden="1">'Cat 7 – Employee Commuting'!$A$3:$T$3</definedName>
    <definedName name="_xlnm._FilterDatabase" localSheetId="9" hidden="1">'Cat 8 – Upstream Leased Asse'!$A$3:$T$3</definedName>
    <definedName name="_xlnm._FilterDatabase" localSheetId="10" hidden="1">'Cat 9 – Downstream Transport'!$A$3:$T$3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9" i="18" l="1"/>
  <c r="C89" i="18"/>
  <c r="B90" i="18"/>
  <c r="C90" i="18"/>
  <c r="B91" i="18"/>
  <c r="C91" i="18"/>
  <c r="B92" i="18"/>
  <c r="C92" i="18"/>
  <c r="B93" i="18"/>
  <c r="C93" i="18"/>
  <c r="B94" i="18"/>
  <c r="C94" i="18"/>
  <c r="B95" i="18"/>
  <c r="C95" i="18"/>
  <c r="B96" i="18"/>
  <c r="C96" i="18"/>
  <c r="B97" i="18"/>
  <c r="C97" i="18"/>
  <c r="B98" i="18"/>
  <c r="C98" i="18"/>
  <c r="B99" i="18"/>
  <c r="C99" i="18"/>
  <c r="B100" i="18"/>
  <c r="C100" i="18"/>
  <c r="B101" i="18"/>
  <c r="C101" i="18"/>
  <c r="M83" i="18"/>
  <c r="N83" i="18"/>
  <c r="M84" i="18"/>
  <c r="N84" i="18"/>
  <c r="M85" i="18"/>
  <c r="N85" i="18"/>
  <c r="M86" i="18"/>
  <c r="N86" i="18"/>
  <c r="M87" i="18"/>
  <c r="N87" i="18"/>
  <c r="J83" i="18"/>
  <c r="J84" i="18"/>
  <c r="J85" i="18"/>
  <c r="J86" i="18"/>
  <c r="J87" i="18"/>
  <c r="J88" i="18"/>
  <c r="J89" i="18"/>
  <c r="J90" i="18"/>
  <c r="J91" i="18"/>
  <c r="J92" i="18"/>
  <c r="J93" i="18"/>
  <c r="J94" i="18"/>
  <c r="J95" i="18"/>
  <c r="J96" i="18"/>
  <c r="J97" i="18"/>
  <c r="G83" i="18"/>
  <c r="G84" i="18"/>
  <c r="G85" i="18"/>
  <c r="G86" i="18"/>
  <c r="G87" i="18"/>
  <c r="G88" i="18"/>
  <c r="G89" i="18"/>
  <c r="G90" i="18"/>
  <c r="G91" i="18"/>
  <c r="G92" i="18"/>
  <c r="C83" i="18"/>
  <c r="C84" i="18"/>
  <c r="C85" i="18"/>
  <c r="G26" i="18"/>
  <c r="H26" i="18"/>
  <c r="B25" i="18"/>
  <c r="C25" i="18"/>
  <c r="F25" i="18"/>
  <c r="G25" i="18"/>
  <c r="H25" i="18"/>
  <c r="B24" i="18"/>
  <c r="C24" i="18"/>
  <c r="F24" i="18"/>
  <c r="G24" i="18"/>
  <c r="H24" i="18"/>
  <c r="B23" i="18"/>
  <c r="C23" i="18"/>
  <c r="F23" i="18"/>
  <c r="G23" i="18"/>
  <c r="H23" i="18"/>
  <c r="B22" i="18"/>
  <c r="C22" i="18"/>
  <c r="F22" i="18"/>
  <c r="G22" i="18"/>
  <c r="H22" i="18"/>
  <c r="B21" i="18"/>
  <c r="C21" i="18"/>
  <c r="F21" i="18"/>
  <c r="G21" i="18"/>
  <c r="H21" i="18"/>
  <c r="B20" i="18"/>
  <c r="C20" i="18"/>
  <c r="F20" i="18"/>
  <c r="G20" i="18"/>
  <c r="H20" i="18"/>
  <c r="B19" i="18"/>
  <c r="C19" i="18"/>
  <c r="F19" i="18"/>
  <c r="G19" i="18"/>
  <c r="H19" i="18"/>
  <c r="B18" i="18"/>
  <c r="C18" i="18"/>
  <c r="F18" i="18"/>
  <c r="G18" i="18"/>
  <c r="H18" i="18"/>
  <c r="B17" i="18"/>
  <c r="C17" i="18"/>
  <c r="F17" i="18"/>
  <c r="G17" i="18"/>
  <c r="H17" i="18"/>
  <c r="B16" i="18"/>
  <c r="C16" i="18"/>
  <c r="F16" i="18"/>
  <c r="G16" i="18"/>
  <c r="H16" i="18"/>
  <c r="B15" i="18"/>
  <c r="C15" i="18"/>
  <c r="F15" i="18"/>
  <c r="G15" i="18"/>
  <c r="H15" i="18"/>
  <c r="B14" i="18"/>
  <c r="C14" i="18"/>
  <c r="F14" i="18"/>
  <c r="G14" i="18"/>
  <c r="H14" i="18"/>
  <c r="B13" i="18"/>
  <c r="C13" i="18"/>
  <c r="F13" i="18"/>
  <c r="G13" i="18"/>
  <c r="H13" i="18"/>
  <c r="B12" i="18"/>
  <c r="C12" i="18"/>
  <c r="F12" i="18"/>
  <c r="G12" i="18"/>
  <c r="H12" i="18"/>
  <c r="B11" i="18"/>
  <c r="C11" i="18"/>
  <c r="F11" i="18"/>
  <c r="G11" i="18"/>
  <c r="H11" i="18"/>
  <c r="L6" i="18"/>
  <c r="J6" i="18"/>
  <c r="H6" i="18"/>
  <c r="F6" i="18"/>
  <c r="D6" i="18"/>
  <c r="B6" i="18"/>
  <c r="E36" i="17"/>
  <c r="E39" i="17"/>
  <c r="E38" i="17"/>
  <c r="E37" i="17"/>
  <c r="E35" i="17"/>
  <c r="E31" i="17"/>
  <c r="D31" i="17"/>
  <c r="E30" i="17"/>
  <c r="D30" i="17"/>
  <c r="E29" i="17"/>
  <c r="D29" i="17"/>
  <c r="E28" i="17"/>
  <c r="D28" i="17"/>
  <c r="E27" i="17"/>
  <c r="D27" i="17"/>
  <c r="E26" i="17"/>
  <c r="D26" i="17"/>
  <c r="E25" i="17"/>
  <c r="D25" i="17"/>
  <c r="E21" i="17"/>
  <c r="D21" i="17"/>
  <c r="E20" i="17" s="1"/>
  <c r="D20" i="17"/>
  <c r="D19" i="17"/>
  <c r="D18" i="17"/>
  <c r="D17" i="17"/>
  <c r="D16" i="17"/>
  <c r="D15" i="17"/>
  <c r="D14" i="17"/>
  <c r="D13" i="17"/>
  <c r="D12" i="17"/>
  <c r="D11" i="17"/>
  <c r="D10" i="17"/>
  <c r="E9" i="17"/>
  <c r="D9" i="17"/>
  <c r="D8" i="17"/>
  <c r="D7" i="17"/>
  <c r="D6" i="17"/>
  <c r="E15" i="17" l="1"/>
  <c r="E10" i="17"/>
  <c r="E16" i="17"/>
  <c r="E7" i="17"/>
  <c r="E17" i="17"/>
  <c r="E13" i="17"/>
  <c r="E11" i="17"/>
  <c r="E6" i="17"/>
  <c r="E12" i="17"/>
  <c r="E18" i="17"/>
  <c r="E19" i="17"/>
  <c r="E8" i="17"/>
  <c r="E14" i="17"/>
</calcChain>
</file>

<file path=xl/sharedStrings.xml><?xml version="1.0" encoding="utf-8"?>
<sst xmlns="http://schemas.openxmlformats.org/spreadsheetml/2006/main" count="12617" uniqueCount="2160">
  <si>
    <t>Scope 3 – Category 1: Purchased Goods &amp; Services</t>
  </si>
  <si>
    <t>GHG Protocol Corporate Value Chain (Scope 3) Accounting and Reporting Standard | Practice Dataset – 100 Rows</t>
  </si>
  <si>
    <t>Row #</t>
  </si>
  <si>
    <t>Reporting Year</t>
  </si>
  <si>
    <t>Quarter</t>
  </si>
  <si>
    <t>Supplier Name</t>
  </si>
  <si>
    <t>Country of Origin</t>
  </si>
  <si>
    <t>Category of Good/Service</t>
  </si>
  <si>
    <t>Product / Service Description</t>
  </si>
  <si>
    <t>Purchase Order #</t>
  </si>
  <si>
    <t>Invoice Date</t>
  </si>
  <si>
    <t>Quantity Purchased</t>
  </si>
  <si>
    <t>Unit</t>
  </si>
  <si>
    <t>Unit Price (USD)</t>
  </si>
  <si>
    <t>Total Spend (USD)</t>
  </si>
  <si>
    <t>Spend-Based EF (kg CO₂e/USD)</t>
  </si>
  <si>
    <t>Avg-Data EF (kg CO₂e/kg)</t>
  </si>
  <si>
    <t>Mass Purchased (kg)</t>
  </si>
  <si>
    <t>Emissions – Spend Method (tCO₂e)</t>
  </si>
  <si>
    <t>Emissions – Avg-Data Method (tCO₂e)</t>
  </si>
  <si>
    <t>Primary Data Available (Y/N)</t>
  </si>
  <si>
    <t>Data Quality Notes</t>
  </si>
  <si>
    <t>Q1</t>
  </si>
  <si>
    <t>Supplier R</t>
  </si>
  <si>
    <t>USA</t>
  </si>
  <si>
    <t>Office Supplies</t>
  </si>
  <si>
    <t>Ceramic Tiles</t>
  </si>
  <si>
    <t>PO-10000</t>
  </si>
  <si>
    <t>17-Jan-2023</t>
  </si>
  <si>
    <t>kg</t>
  </si>
  <si>
    <t>Y</t>
  </si>
  <si>
    <t>Supplier invoice</t>
  </si>
  <si>
    <t>Q2</t>
  </si>
  <si>
    <t>Singapore</t>
  </si>
  <si>
    <t>Consulting</t>
  </si>
  <si>
    <t>Carbon Fibre</t>
  </si>
  <si>
    <t>PO-10001</t>
  </si>
  <si>
    <t>29-Oct-2023</t>
  </si>
  <si>
    <t>N</t>
  </si>
  <si>
    <t>Q3</t>
  </si>
  <si>
    <t>Supplier K</t>
  </si>
  <si>
    <t>Packaging</t>
  </si>
  <si>
    <t>Lubricant Oil</t>
  </si>
  <si>
    <t>PO-10002</t>
  </si>
  <si>
    <t>19-Feb-2023</t>
  </si>
  <si>
    <t>GHG Protocol EEIO</t>
  </si>
  <si>
    <t>Q4</t>
  </si>
  <si>
    <t>Supplier M</t>
  </si>
  <si>
    <t>Food &amp; Beverage</t>
  </si>
  <si>
    <t>Electronic Components</t>
  </si>
  <si>
    <t>PO-10003</t>
  </si>
  <si>
    <t>18-Nov-2023</t>
  </si>
  <si>
    <t>Industry average</t>
  </si>
  <si>
    <t>Supplier H</t>
  </si>
  <si>
    <t>Netherlands</t>
  </si>
  <si>
    <t>PO-10004</t>
  </si>
  <si>
    <t>23-May-2023</t>
  </si>
  <si>
    <t>Supplier C</t>
  </si>
  <si>
    <t>UAE</t>
  </si>
  <si>
    <t>IT Services</t>
  </si>
  <si>
    <t>Audit Services</t>
  </si>
  <si>
    <t>PO-10005</t>
  </si>
  <si>
    <t>06-May-2023</t>
  </si>
  <si>
    <t>Ecoinvent 3.9</t>
  </si>
  <si>
    <t>Supplier B</t>
  </si>
  <si>
    <t>UK</t>
  </si>
  <si>
    <t>Raw Material</t>
  </si>
  <si>
    <t>Packaging Material</t>
  </si>
  <si>
    <t>PO-10006</t>
  </si>
  <si>
    <t>25-Jul-2023</t>
  </si>
  <si>
    <t>Mexico</t>
  </si>
  <si>
    <t>Utilities</t>
  </si>
  <si>
    <t>Glass Panels</t>
  </si>
  <si>
    <t>PO-10007</t>
  </si>
  <si>
    <t>16-May-2023</t>
  </si>
  <si>
    <t>Supplier L</t>
  </si>
  <si>
    <t>Legal Services</t>
  </si>
  <si>
    <t>PO-10008</t>
  </si>
  <si>
    <t>10-Sep-2023</t>
  </si>
  <si>
    <t>PO-10009</t>
  </si>
  <si>
    <t>28-Sep-2023</t>
  </si>
  <si>
    <t>Chemicals</t>
  </si>
  <si>
    <t>PO-10010</t>
  </si>
  <si>
    <t>22-Mar-2023</t>
  </si>
  <si>
    <t>Supplier D</t>
  </si>
  <si>
    <t>PO-10011</t>
  </si>
  <si>
    <t>08-Nov-2023</t>
  </si>
  <si>
    <t>Supplier T</t>
  </si>
  <si>
    <t>Brazil</t>
  </si>
  <si>
    <t>Steel Sheets</t>
  </si>
  <si>
    <t>PO-10012</t>
  </si>
  <si>
    <t>27-Feb-2023</t>
  </si>
  <si>
    <t>South Korea</t>
  </si>
  <si>
    <t>PO-10013</t>
  </si>
  <si>
    <t>07-Mar-2023</t>
  </si>
  <si>
    <t>Supplier G</t>
  </si>
  <si>
    <t>Canada</t>
  </si>
  <si>
    <t>PO-10014</t>
  </si>
  <si>
    <t>10-Dec-2023</t>
  </si>
  <si>
    <t>Paper Rolls</t>
  </si>
  <si>
    <t>PO-10015</t>
  </si>
  <si>
    <t>04-Jan-2023</t>
  </si>
  <si>
    <t>Supplier P</t>
  </si>
  <si>
    <t>PO-10016</t>
  </si>
  <si>
    <t>20-Oct-2023</t>
  </si>
  <si>
    <t>Supplier N</t>
  </si>
  <si>
    <t>Aluminium Ingots</t>
  </si>
  <si>
    <t>PO-10017</t>
  </si>
  <si>
    <t>11-Dec-2023</t>
  </si>
  <si>
    <t>Supplier O</t>
  </si>
  <si>
    <t>Germany</t>
  </si>
  <si>
    <t>MRO Supplies</t>
  </si>
  <si>
    <t>Rubber Seals</t>
  </si>
  <si>
    <t>PO-10018</t>
  </si>
  <si>
    <t>Copper Wire</t>
  </si>
  <si>
    <t>PO-10019</t>
  </si>
  <si>
    <t>02-May-2023</t>
  </si>
  <si>
    <t>China</t>
  </si>
  <si>
    <t>PO-10020</t>
  </si>
  <si>
    <t>05-Aug-2023</t>
  </si>
  <si>
    <t>India</t>
  </si>
  <si>
    <t>Courier Service</t>
  </si>
  <si>
    <t>PO-10021</t>
  </si>
  <si>
    <t>02-Sep-2023</t>
  </si>
  <si>
    <t>PO-10022</t>
  </si>
  <si>
    <t>07-May-2023</t>
  </si>
  <si>
    <t>PO-10023</t>
  </si>
  <si>
    <t>09-Mar-2023</t>
  </si>
  <si>
    <t>Cotton Fabric</t>
  </si>
  <si>
    <t>PO-10024</t>
  </si>
  <si>
    <t>17-Sep-2023</t>
  </si>
  <si>
    <t>PO-10025</t>
  </si>
  <si>
    <t>05-Jan-2023</t>
  </si>
  <si>
    <t>Supplier I</t>
  </si>
  <si>
    <t>PO-10026</t>
  </si>
  <si>
    <t>25-Jun-2023</t>
  </si>
  <si>
    <t>PO-10027</t>
  </si>
  <si>
    <t>08-Mar-2023</t>
  </si>
  <si>
    <t>Supplier E</t>
  </si>
  <si>
    <t>Australia</t>
  </si>
  <si>
    <t>Adhesive Tape</t>
  </si>
  <si>
    <t>PO-10028</t>
  </si>
  <si>
    <t>26-Oct-2023</t>
  </si>
  <si>
    <t>Plastic Pellets</t>
  </si>
  <si>
    <t>PO-10029</t>
  </si>
  <si>
    <t>01-Jul-2023</t>
  </si>
  <si>
    <t>PO-10030</t>
  </si>
  <si>
    <t>30-Jul-2023</t>
  </si>
  <si>
    <t>PO-10031</t>
  </si>
  <si>
    <t>06-Jun-2023</t>
  </si>
  <si>
    <t>PO-10032</t>
  </si>
  <si>
    <t>14-Dec-2023</t>
  </si>
  <si>
    <t>PO-10033</t>
  </si>
  <si>
    <t>10-Jun-2023</t>
  </si>
  <si>
    <t>France</t>
  </si>
  <si>
    <t>PO-10034</t>
  </si>
  <si>
    <t>09-Aug-2023</t>
  </si>
  <si>
    <t>PO-10035</t>
  </si>
  <si>
    <t>11-Oct-2023</t>
  </si>
  <si>
    <t>Supplier J</t>
  </si>
  <si>
    <t>PO-10036</t>
  </si>
  <si>
    <t>05-Jun-2023</t>
  </si>
  <si>
    <t>PO-10037</t>
  </si>
  <si>
    <t>04-Dec-2023</t>
  </si>
  <si>
    <t>PO-10038</t>
  </si>
  <si>
    <t>13-Jan-2023</t>
  </si>
  <si>
    <t>Supplier S</t>
  </si>
  <si>
    <t>Cloud Computing</t>
  </si>
  <si>
    <t>PO-10039</t>
  </si>
  <si>
    <t>24-Jul-2023</t>
  </si>
  <si>
    <t>PO-10040</t>
  </si>
  <si>
    <t>26-Aug-2023</t>
  </si>
  <si>
    <t>Logistics Services</t>
  </si>
  <si>
    <t>PO-10041</t>
  </si>
  <si>
    <t>10-Nov-2023</t>
  </si>
  <si>
    <t>PO-10042</t>
  </si>
  <si>
    <t>17-Nov-2023</t>
  </si>
  <si>
    <t>PO-10043</t>
  </si>
  <si>
    <t>16-Jul-2023</t>
  </si>
  <si>
    <t>PO-10044</t>
  </si>
  <si>
    <t>22-Oct-2023</t>
  </si>
  <si>
    <t>PO-10045</t>
  </si>
  <si>
    <t>07-Sep-2023</t>
  </si>
  <si>
    <t>Supplier F</t>
  </si>
  <si>
    <t>PO-10046</t>
  </si>
  <si>
    <t>15-Nov-2023</t>
  </si>
  <si>
    <t>PO-10047</t>
  </si>
  <si>
    <t>17-Jun-2023</t>
  </si>
  <si>
    <t>PO-10048</t>
  </si>
  <si>
    <t>10-Jan-2023</t>
  </si>
  <si>
    <t>PO-10049</t>
  </si>
  <si>
    <t>03-May-2023</t>
  </si>
  <si>
    <t>PO-10050</t>
  </si>
  <si>
    <t>25-Mar-2023</t>
  </si>
  <si>
    <t>PO-10051</t>
  </si>
  <si>
    <t>22-Feb-2023</t>
  </si>
  <si>
    <t>PO-10052</t>
  </si>
  <si>
    <t>04-Aug-2023</t>
  </si>
  <si>
    <t>Chemical Solvent</t>
  </si>
  <si>
    <t>PO-10053</t>
  </si>
  <si>
    <t>12-Nov-2023</t>
  </si>
  <si>
    <t>PO-10054</t>
  </si>
  <si>
    <t>PO-10055</t>
  </si>
  <si>
    <t>12-Oct-2023</t>
  </si>
  <si>
    <t>Japan</t>
  </si>
  <si>
    <t>PO-10056</t>
  </si>
  <si>
    <t>31-May-2023</t>
  </si>
  <si>
    <t>PO-10057</t>
  </si>
  <si>
    <t>30-Jun-2023</t>
  </si>
  <si>
    <t>PO-10058</t>
  </si>
  <si>
    <t>22-May-2023</t>
  </si>
  <si>
    <t>PO-10059</t>
  </si>
  <si>
    <t>PO-10060</t>
  </si>
  <si>
    <t>27-Jan-2023</t>
  </si>
  <si>
    <t>PO-10061</t>
  </si>
  <si>
    <t>13-Feb-2023</t>
  </si>
  <si>
    <t>PO-10062</t>
  </si>
  <si>
    <t>PO-10063</t>
  </si>
  <si>
    <t>PO-10064</t>
  </si>
  <si>
    <t>06-Feb-2023</t>
  </si>
  <si>
    <t>PO-10065</t>
  </si>
  <si>
    <t>14-Mar-2023</t>
  </si>
  <si>
    <t>PO-10066</t>
  </si>
  <si>
    <t>20-May-2023</t>
  </si>
  <si>
    <t>PO-10067</t>
  </si>
  <si>
    <t>11-Jan-2023</t>
  </si>
  <si>
    <t>PO-10068</t>
  </si>
  <si>
    <t>29-Aug-2023</t>
  </si>
  <si>
    <t>PO-10069</t>
  </si>
  <si>
    <t>19-Jan-2023</t>
  </si>
  <si>
    <t>Supplier A</t>
  </si>
  <si>
    <t>PO-10070</t>
  </si>
  <si>
    <t>31-Jul-2023</t>
  </si>
  <si>
    <t>PO-10071</t>
  </si>
  <si>
    <t>13-Aug-2023</t>
  </si>
  <si>
    <t>PO-10072</t>
  </si>
  <si>
    <t>26-Apr-2023</t>
  </si>
  <si>
    <t>PO-10073</t>
  </si>
  <si>
    <t>05-May-2023</t>
  </si>
  <si>
    <t>PO-10074</t>
  </si>
  <si>
    <t>PO-10075</t>
  </si>
  <si>
    <t>26-Jun-2023</t>
  </si>
  <si>
    <t>PO-10076</t>
  </si>
  <si>
    <t>12-Jun-2023</t>
  </si>
  <si>
    <t>PO-10077</t>
  </si>
  <si>
    <t>19-Jun-2023</t>
  </si>
  <si>
    <t>PO-10078</t>
  </si>
  <si>
    <t>23-Jun-2023</t>
  </si>
  <si>
    <t>PO-10079</t>
  </si>
  <si>
    <t>13-Nov-2023</t>
  </si>
  <si>
    <t>PO-10080</t>
  </si>
  <si>
    <t>27-Mar-2023</t>
  </si>
  <si>
    <t>Supplier Q</t>
  </si>
  <si>
    <t>PO-10081</t>
  </si>
  <si>
    <t>29-Mar-2023</t>
  </si>
  <si>
    <t>PO-10082</t>
  </si>
  <si>
    <t>11-May-2023</t>
  </si>
  <si>
    <t>PO-10083</t>
  </si>
  <si>
    <t>22-Aug-2023</t>
  </si>
  <si>
    <t>PO-10084</t>
  </si>
  <si>
    <t>PO-10085</t>
  </si>
  <si>
    <t>07-Nov-2023</t>
  </si>
  <si>
    <t>PO-10086</t>
  </si>
  <si>
    <t>08-Jun-2023</t>
  </si>
  <si>
    <t>PO-10087</t>
  </si>
  <si>
    <t>07-Jul-2023</t>
  </si>
  <si>
    <t>PO-10088</t>
  </si>
  <si>
    <t>08-Feb-2023</t>
  </si>
  <si>
    <t>PO-10089</t>
  </si>
  <si>
    <t>PO-10090</t>
  </si>
  <si>
    <t>PO-10091</t>
  </si>
  <si>
    <t>PO-10092</t>
  </si>
  <si>
    <t>01-Aug-2023</t>
  </si>
  <si>
    <t>PO-10093</t>
  </si>
  <si>
    <t>18-Dec-2023</t>
  </si>
  <si>
    <t>PO-10094</t>
  </si>
  <si>
    <t>26-Jan-2023</t>
  </si>
  <si>
    <t>PO-10095</t>
  </si>
  <si>
    <t>17-Mar-2023</t>
  </si>
  <si>
    <t>PO-10096</t>
  </si>
  <si>
    <t>PO-10097</t>
  </si>
  <si>
    <t>31-Oct-2023</t>
  </si>
  <si>
    <t>PO-10098</t>
  </si>
  <si>
    <t>01-Feb-2023</t>
  </si>
  <si>
    <t>PO-10099</t>
  </si>
  <si>
    <t>06-Mar-2023</t>
  </si>
  <si>
    <t>Scope 3 – Category 2: Capital Goods</t>
  </si>
  <si>
    <t>Asset Name</t>
  </si>
  <si>
    <t>Asset Category</t>
  </si>
  <si>
    <t>Supplier / Manufacturer</t>
  </si>
  <si>
    <t>Country of Manufacture</t>
  </si>
  <si>
    <t>Purchase Date</t>
  </si>
  <si>
    <t>Asset Life (Years)</t>
  </si>
  <si>
    <t>Capex (USD)</t>
  </si>
  <si>
    <t>Mass of Asset (tonne)</t>
  </si>
  <si>
    <t>Mass-Based EF (kg CO₂e/tonne)</t>
  </si>
  <si>
    <t>Emissions – Mass Method (tCO₂e)</t>
  </si>
  <si>
    <t>Supplier EPD Available (Y/N)</t>
  </si>
  <si>
    <t>Asset Serial / PO #</t>
  </si>
  <si>
    <t>Notes</t>
  </si>
  <si>
    <t>Assembly Robot</t>
  </si>
  <si>
    <t>IT Hardware</t>
  </si>
  <si>
    <t>02-Dec-2023</t>
  </si>
  <si>
    <t>SN-50000</t>
  </si>
  <si>
    <t>Expansion</t>
  </si>
  <si>
    <t>Air Compressor</t>
  </si>
  <si>
    <t>Solar PV Installation</t>
  </si>
  <si>
    <t>18-Feb-2023</t>
  </si>
  <si>
    <t>SN-50001</t>
  </si>
  <si>
    <t>Replacement</t>
  </si>
  <si>
    <t>Injection Moulding Press</t>
  </si>
  <si>
    <t>10-Aug-2023</t>
  </si>
  <si>
    <t>SN-50002</t>
  </si>
  <si>
    <t>Laptop Fleet</t>
  </si>
  <si>
    <t>HVAC System</t>
  </si>
  <si>
    <t>SN-50003</t>
  </si>
  <si>
    <t>Building/Construction</t>
  </si>
  <si>
    <t>04-Sep-2023</t>
  </si>
  <si>
    <t>SN-50004</t>
  </si>
  <si>
    <t>Forklift</t>
  </si>
  <si>
    <t>12-Dec-2023</t>
  </si>
  <si>
    <t>SN-50005</t>
  </si>
  <si>
    <t>New acquisition</t>
  </si>
  <si>
    <t>Industrial Chiller</t>
  </si>
  <si>
    <t>Industrial Robot</t>
  </si>
  <si>
    <t>SN-50006</t>
  </si>
  <si>
    <t>03-Aug-2023</t>
  </si>
  <si>
    <t>SN-50007</t>
  </si>
  <si>
    <t>Manufacturing Equipment</t>
  </si>
  <si>
    <t>SN-50008</t>
  </si>
  <si>
    <t>SN-50009</t>
  </si>
  <si>
    <t>Warehouse Extension</t>
  </si>
  <si>
    <t>SN-50010</t>
  </si>
  <si>
    <t>14-Jul-2023</t>
  </si>
  <si>
    <t>SN-50011</t>
  </si>
  <si>
    <t>CNC Machine</t>
  </si>
  <si>
    <t>09-Feb-2023</t>
  </si>
  <si>
    <t>SN-50012</t>
  </si>
  <si>
    <t>SN-50013</t>
  </si>
  <si>
    <t>SN-50014</t>
  </si>
  <si>
    <t>27-Nov-2023</t>
  </si>
  <si>
    <t>SN-50015</t>
  </si>
  <si>
    <t>Fleet Vehicle</t>
  </si>
  <si>
    <t>16-Oct-2023</t>
  </si>
  <si>
    <t>SN-50016</t>
  </si>
  <si>
    <t>Photovoltaic Array</t>
  </si>
  <si>
    <t>04-Feb-2023</t>
  </si>
  <si>
    <t>SN-50017</t>
  </si>
  <si>
    <t>Conveyor System</t>
  </si>
  <si>
    <t>30-Jan-2023</t>
  </si>
  <si>
    <t>SN-50018</t>
  </si>
  <si>
    <t>22-Jan-2023</t>
  </si>
  <si>
    <t>SN-50019</t>
  </si>
  <si>
    <t>SN-50020</t>
  </si>
  <si>
    <t>Data Centre UPS</t>
  </si>
  <si>
    <t>25-May-2023</t>
  </si>
  <si>
    <t>SN-50021</t>
  </si>
  <si>
    <t>17-Jul-2023</t>
  </si>
  <si>
    <t>SN-50022</t>
  </si>
  <si>
    <t>Server/Data Centre</t>
  </si>
  <si>
    <t>29-Jun-2023</t>
  </si>
  <si>
    <t>SN-50023</t>
  </si>
  <si>
    <t>SN-50024</t>
  </si>
  <si>
    <t>SN-50025</t>
  </si>
  <si>
    <t>04-Oct-2023</t>
  </si>
  <si>
    <t>SN-50026</t>
  </si>
  <si>
    <t>Electric Forklift</t>
  </si>
  <si>
    <t>21-Dec-2023</t>
  </si>
  <si>
    <t>SN-50027</t>
  </si>
  <si>
    <t>18-Aug-2023</t>
  </si>
  <si>
    <t>SN-50028</t>
  </si>
  <si>
    <t>SN-50029</t>
  </si>
  <si>
    <t>SN-50030</t>
  </si>
  <si>
    <t>20-Sep-2023</t>
  </si>
  <si>
    <t>SN-50031</t>
  </si>
  <si>
    <t>15-Sep-2023</t>
  </si>
  <si>
    <t>SN-50032</t>
  </si>
  <si>
    <t>27-May-2023</t>
  </si>
  <si>
    <t>SN-50033</t>
  </si>
  <si>
    <t>18-Mar-2023</t>
  </si>
  <si>
    <t>SN-50034</t>
  </si>
  <si>
    <t>SN-50035</t>
  </si>
  <si>
    <t>08-Aug-2023</t>
  </si>
  <si>
    <t>SN-50036</t>
  </si>
  <si>
    <t>SN-50037</t>
  </si>
  <si>
    <t>SN-50038</t>
  </si>
  <si>
    <t>SN-50039</t>
  </si>
  <si>
    <t>14-Apr-2023</t>
  </si>
  <si>
    <t>SN-50040</t>
  </si>
  <si>
    <t>28-Nov-2023</t>
  </si>
  <si>
    <t>SN-50041</t>
  </si>
  <si>
    <t>14-Aug-2023</t>
  </si>
  <si>
    <t>SN-50042</t>
  </si>
  <si>
    <t>05-Nov-2023</t>
  </si>
  <si>
    <t>SN-50043</t>
  </si>
  <si>
    <t>16-Aug-2023</t>
  </si>
  <si>
    <t>SN-50044</t>
  </si>
  <si>
    <t>SN-50045</t>
  </si>
  <si>
    <t>01-May-2023</t>
  </si>
  <si>
    <t>SN-50046</t>
  </si>
  <si>
    <t>SN-50047</t>
  </si>
  <si>
    <t>18-Jul-2023</t>
  </si>
  <si>
    <t>SN-50048</t>
  </si>
  <si>
    <t>07-Feb-2023</t>
  </si>
  <si>
    <t>SN-50049</t>
  </si>
  <si>
    <t>05-Oct-2023</t>
  </si>
  <si>
    <t>SN-50050</t>
  </si>
  <si>
    <t>13-Mar-2023</t>
  </si>
  <si>
    <t>SN-50051</t>
  </si>
  <si>
    <t>SN-50052</t>
  </si>
  <si>
    <t>27-Aug-2023</t>
  </si>
  <si>
    <t>SN-50053</t>
  </si>
  <si>
    <t>29-Jan-2023</t>
  </si>
  <si>
    <t>SN-50054</t>
  </si>
  <si>
    <t>11-Apr-2023</t>
  </si>
  <si>
    <t>SN-50055</t>
  </si>
  <si>
    <t>SN-50056</t>
  </si>
  <si>
    <t>23-Oct-2023</t>
  </si>
  <si>
    <t>SN-50057</t>
  </si>
  <si>
    <t>SN-50058</t>
  </si>
  <si>
    <t>SN-50059</t>
  </si>
  <si>
    <t>13-Jun-2023</t>
  </si>
  <si>
    <t>SN-50060</t>
  </si>
  <si>
    <t>23-Mar-2023</t>
  </si>
  <si>
    <t>SN-50061</t>
  </si>
  <si>
    <t>16-Feb-2023</t>
  </si>
  <si>
    <t>SN-50062</t>
  </si>
  <si>
    <t>02-Oct-2023</t>
  </si>
  <si>
    <t>SN-50063</t>
  </si>
  <si>
    <t>15-Oct-2023</t>
  </si>
  <si>
    <t>SN-50064</t>
  </si>
  <si>
    <t>SN-50065</t>
  </si>
  <si>
    <t>20-Jan-2023</t>
  </si>
  <si>
    <t>SN-50066</t>
  </si>
  <si>
    <t>SN-50067</t>
  </si>
  <si>
    <t>09-Jan-2023</t>
  </si>
  <si>
    <t>SN-50068</t>
  </si>
  <si>
    <t>SN-50069</t>
  </si>
  <si>
    <t>15-Dec-2023</t>
  </si>
  <si>
    <t>SN-50070</t>
  </si>
  <si>
    <t>14-Sep-2023</t>
  </si>
  <si>
    <t>SN-50071</t>
  </si>
  <si>
    <t>SN-50072</t>
  </si>
  <si>
    <t>SN-50073</t>
  </si>
  <si>
    <t>28-Jun-2023</t>
  </si>
  <si>
    <t>SN-50074</t>
  </si>
  <si>
    <t>SN-50075</t>
  </si>
  <si>
    <t>SN-50076</t>
  </si>
  <si>
    <t>21-Feb-2023</t>
  </si>
  <si>
    <t>SN-50077</t>
  </si>
  <si>
    <t>30-Nov-2023</t>
  </si>
  <si>
    <t>SN-50078</t>
  </si>
  <si>
    <t>31-Mar-2023</t>
  </si>
  <si>
    <t>SN-50079</t>
  </si>
  <si>
    <t>18-Oct-2023</t>
  </si>
  <si>
    <t>SN-50080</t>
  </si>
  <si>
    <t>09-Apr-2023</t>
  </si>
  <si>
    <t>SN-50081</t>
  </si>
  <si>
    <t>SN-50082</t>
  </si>
  <si>
    <t>15-Jun-2023</t>
  </si>
  <si>
    <t>SN-50083</t>
  </si>
  <si>
    <t>01-Dec-2023</t>
  </si>
  <si>
    <t>SN-50084</t>
  </si>
  <si>
    <t>01-Jun-2023</t>
  </si>
  <si>
    <t>SN-50085</t>
  </si>
  <si>
    <t>09-Oct-2023</t>
  </si>
  <si>
    <t>SN-50086</t>
  </si>
  <si>
    <t>27-Dec-2023</t>
  </si>
  <si>
    <t>SN-50087</t>
  </si>
  <si>
    <t>24-Sep-2023</t>
  </si>
  <si>
    <t>SN-50088</t>
  </si>
  <si>
    <t>SN-50089</t>
  </si>
  <si>
    <t>SN-50090</t>
  </si>
  <si>
    <t>03-Apr-2023</t>
  </si>
  <si>
    <t>SN-50091</t>
  </si>
  <si>
    <t>11-Feb-2023</t>
  </si>
  <si>
    <t>SN-50092</t>
  </si>
  <si>
    <t>25-Apr-2023</t>
  </si>
  <si>
    <t>SN-50093</t>
  </si>
  <si>
    <t>21-Mar-2023</t>
  </si>
  <si>
    <t>SN-50094</t>
  </si>
  <si>
    <t>SN-50095</t>
  </si>
  <si>
    <t>22-Apr-2023</t>
  </si>
  <si>
    <t>SN-50096</t>
  </si>
  <si>
    <t>SN-50097</t>
  </si>
  <si>
    <t>SN-50098</t>
  </si>
  <si>
    <t>02-Aug-2023</t>
  </si>
  <si>
    <t>SN-50099</t>
  </si>
  <si>
    <t>Scope 3 – Category 3: Fuel- and Energy-Related Activities</t>
  </si>
  <si>
    <t>Facility Name</t>
  </si>
  <si>
    <t>Country</t>
  </si>
  <si>
    <t>Energy Type</t>
  </si>
  <si>
    <t>Fuel/Energy Source</t>
  </si>
  <si>
    <t>Quantity Consumed</t>
  </si>
  <si>
    <t>Upstream EF – Extraction &amp; Processing (kg CO₂e/unit)</t>
  </si>
  <si>
    <t>T&amp;D Loss Factor (%)</t>
  </si>
  <si>
    <t>Grid EF (kg CO₂e/kWh)</t>
  </si>
  <si>
    <t>Upstream Emissions (tCO₂e)</t>
  </si>
  <si>
    <t>T&amp;D Loss Emissions (tCO₂e)</t>
  </si>
  <si>
    <t>Total Cat 3 Emissions (tCO₂e)</t>
  </si>
  <si>
    <t>Data Source</t>
  </si>
  <si>
    <t>Facility-D</t>
  </si>
  <si>
    <t>Steam (purchased)</t>
  </si>
  <si>
    <t>Heat</t>
  </si>
  <si>
    <t>kWh</t>
  </si>
  <si>
    <t>IEA / IPCC AR6</t>
  </si>
  <si>
    <t>Utility bill</t>
  </si>
  <si>
    <t>Facility-H</t>
  </si>
  <si>
    <t>LPG</t>
  </si>
  <si>
    <t>Fossil Fuel</t>
  </si>
  <si>
    <t>GJ</t>
  </si>
  <si>
    <t>Facility-C</t>
  </si>
  <si>
    <t>Meter reading</t>
  </si>
  <si>
    <t>Facility-A</t>
  </si>
  <si>
    <t>Natural Gas</t>
  </si>
  <si>
    <t>Electricity</t>
  </si>
  <si>
    <t>Grid</t>
  </si>
  <si>
    <t>Fuel Oil</t>
  </si>
  <si>
    <t>Estimate</t>
  </si>
  <si>
    <t>Facility-F</t>
  </si>
  <si>
    <t>Coal</t>
  </si>
  <si>
    <t>Facility-E</t>
  </si>
  <si>
    <t>Biomass Pellets</t>
  </si>
  <si>
    <t>Renewable</t>
  </si>
  <si>
    <t>Facility-B</t>
  </si>
  <si>
    <t>Diesel</t>
  </si>
  <si>
    <t>Facility-G</t>
  </si>
  <si>
    <t>Scope 3 – Category 4: Upstream Transportation &amp; Distribution</t>
  </si>
  <si>
    <t>Shipment ID</t>
  </si>
  <si>
    <t>Origin Country</t>
  </si>
  <si>
    <t>Destination Country</t>
  </si>
  <si>
    <t>Product Category</t>
  </si>
  <si>
    <t>Transport Mode</t>
  </si>
  <si>
    <t>Carrier Name</t>
  </si>
  <si>
    <t>Mass Shipped (tonne)</t>
  </si>
  <si>
    <t>Distance (km)</t>
  </si>
  <si>
    <t>Tonne-km</t>
  </si>
  <si>
    <t>Emission Factor (kg CO₂e/tonne-km)</t>
  </si>
  <si>
    <t>Emissions (tCO₂e)</t>
  </si>
  <si>
    <t>Freight Spend (USD)</t>
  </si>
  <si>
    <t>Calculation Method</t>
  </si>
  <si>
    <t>Data Quality</t>
  </si>
  <si>
    <t>SHP-20000</t>
  </si>
  <si>
    <t>Inland Waterway</t>
  </si>
  <si>
    <t>Maersk</t>
  </si>
  <si>
    <t>Spend-based</t>
  </si>
  <si>
    <t>Primary – carrier data</t>
  </si>
  <si>
    <t>SHP-20001</t>
  </si>
  <si>
    <t>Rail</t>
  </si>
  <si>
    <t>Distance-based</t>
  </si>
  <si>
    <t>SHP-20002</t>
  </si>
  <si>
    <t>Kuehne+Nagel</t>
  </si>
  <si>
    <t>SHP-20003</t>
  </si>
  <si>
    <t>Road</t>
  </si>
  <si>
    <t>Secondary – GLEC default</t>
  </si>
  <si>
    <t>SHP-20004</t>
  </si>
  <si>
    <t>Road (refrigerated)</t>
  </si>
  <si>
    <t>UPS</t>
  </si>
  <si>
    <t>SHP-20005</t>
  </si>
  <si>
    <t>SHP-20006</t>
  </si>
  <si>
    <t>Air</t>
  </si>
  <si>
    <t>SHP-20007</t>
  </si>
  <si>
    <t>SHP-20008</t>
  </si>
  <si>
    <t>SHP-20009</t>
  </si>
  <si>
    <t>CEVA</t>
  </si>
  <si>
    <t>SHP-20010</t>
  </si>
  <si>
    <t>DB Schenker</t>
  </si>
  <si>
    <t>SHP-20011</t>
  </si>
  <si>
    <t>SHP-20012</t>
  </si>
  <si>
    <t>SHP-20013</t>
  </si>
  <si>
    <t>Sea</t>
  </si>
  <si>
    <t>Hapag-Lloyd</t>
  </si>
  <si>
    <t>SHP-20014</t>
  </si>
  <si>
    <t>MSC</t>
  </si>
  <si>
    <t>SHP-20015</t>
  </si>
  <si>
    <t>SHP-20016</t>
  </si>
  <si>
    <t>DHL</t>
  </si>
  <si>
    <t>SHP-20017</t>
  </si>
  <si>
    <t>FedEx</t>
  </si>
  <si>
    <t>SHP-20018</t>
  </si>
  <si>
    <t>SHP-20019</t>
  </si>
  <si>
    <t>SHP-20020</t>
  </si>
  <si>
    <t>SHP-20021</t>
  </si>
  <si>
    <t>SHP-20022</t>
  </si>
  <si>
    <t>SHP-20023</t>
  </si>
  <si>
    <t>SHP-20024</t>
  </si>
  <si>
    <t>SHP-20025</t>
  </si>
  <si>
    <t>SHP-20026</t>
  </si>
  <si>
    <t>SHP-20027</t>
  </si>
  <si>
    <t>SHP-20028</t>
  </si>
  <si>
    <t>SHP-20029</t>
  </si>
  <si>
    <t>SHP-20030</t>
  </si>
  <si>
    <t>SHP-20031</t>
  </si>
  <si>
    <t>SHP-20032</t>
  </si>
  <si>
    <t>SHP-20033</t>
  </si>
  <si>
    <t>TNT</t>
  </si>
  <si>
    <t>SHP-20034</t>
  </si>
  <si>
    <t>SHP-20035</t>
  </si>
  <si>
    <t>SHP-20036</t>
  </si>
  <si>
    <t>SHP-20037</t>
  </si>
  <si>
    <t>SHP-20038</t>
  </si>
  <si>
    <t>SHP-20039</t>
  </si>
  <si>
    <t>SHP-20040</t>
  </si>
  <si>
    <t>SHP-20041</t>
  </si>
  <si>
    <t>SHP-20042</t>
  </si>
  <si>
    <t>SHP-20043</t>
  </si>
  <si>
    <t>SHP-20044</t>
  </si>
  <si>
    <t>SHP-20045</t>
  </si>
  <si>
    <t>SHP-20046</t>
  </si>
  <si>
    <t>SHP-20047</t>
  </si>
  <si>
    <t>SHP-20048</t>
  </si>
  <si>
    <t>SHP-20049</t>
  </si>
  <si>
    <t>SHP-20050</t>
  </si>
  <si>
    <t>SHP-20051</t>
  </si>
  <si>
    <t>SHP-20052</t>
  </si>
  <si>
    <t>SHP-20053</t>
  </si>
  <si>
    <t>SHP-20054</t>
  </si>
  <si>
    <t>SHP-20055</t>
  </si>
  <si>
    <t>SHP-20056</t>
  </si>
  <si>
    <t>SHP-20057</t>
  </si>
  <si>
    <t>SHP-20058</t>
  </si>
  <si>
    <t>SHP-20059</t>
  </si>
  <si>
    <t>SHP-20060</t>
  </si>
  <si>
    <t>SHP-20061</t>
  </si>
  <si>
    <t>SHP-20062</t>
  </si>
  <si>
    <t>SHP-20063</t>
  </si>
  <si>
    <t>SHP-20064</t>
  </si>
  <si>
    <t>SHP-20065</t>
  </si>
  <si>
    <t>SHP-20066</t>
  </si>
  <si>
    <t>SHP-20067</t>
  </si>
  <si>
    <t>SHP-20068</t>
  </si>
  <si>
    <t>SHP-20069</t>
  </si>
  <si>
    <t>SHP-20070</t>
  </si>
  <si>
    <t>SHP-20071</t>
  </si>
  <si>
    <t>SHP-20072</t>
  </si>
  <si>
    <t>SHP-20073</t>
  </si>
  <si>
    <t>SHP-20074</t>
  </si>
  <si>
    <t>SHP-20075</t>
  </si>
  <si>
    <t>SHP-20076</t>
  </si>
  <si>
    <t>SHP-20077</t>
  </si>
  <si>
    <t>SHP-20078</t>
  </si>
  <si>
    <t>SHP-20079</t>
  </si>
  <si>
    <t>SHP-20080</t>
  </si>
  <si>
    <t>SHP-20081</t>
  </si>
  <si>
    <t>SHP-20082</t>
  </si>
  <si>
    <t>SHP-20083</t>
  </si>
  <si>
    <t>SHP-20084</t>
  </si>
  <si>
    <t>SHP-20085</t>
  </si>
  <si>
    <t>SHP-20086</t>
  </si>
  <si>
    <t>SHP-20087</t>
  </si>
  <si>
    <t>SHP-20088</t>
  </si>
  <si>
    <t>SHP-20089</t>
  </si>
  <si>
    <t>SHP-20090</t>
  </si>
  <si>
    <t>SHP-20091</t>
  </si>
  <si>
    <t>SHP-20092</t>
  </si>
  <si>
    <t>SHP-20093</t>
  </si>
  <si>
    <t>SHP-20094</t>
  </si>
  <si>
    <t>SHP-20095</t>
  </si>
  <si>
    <t>SHP-20096</t>
  </si>
  <si>
    <t>SHP-20097</t>
  </si>
  <si>
    <t>SHP-20098</t>
  </si>
  <si>
    <t>SHP-20099</t>
  </si>
  <si>
    <t>Scope 3 – Category 5: Waste Generated in Operations</t>
  </si>
  <si>
    <t>Waste Stream</t>
  </si>
  <si>
    <t>Waste Composition</t>
  </si>
  <si>
    <t>Mass Generated (tonne)</t>
  </si>
  <si>
    <t>Disposal Route</t>
  </si>
  <si>
    <t>Contractor Name</t>
  </si>
  <si>
    <t>Emission Factor (kg CO₂e/tonne)</t>
  </si>
  <si>
    <t>Waste Diverted from Landfill (tonne)</t>
  </si>
  <si>
    <t>Diversion Rate (%)</t>
  </si>
  <si>
    <t>Cost of Disposal (USD)</t>
  </si>
  <si>
    <t>Plant-E</t>
  </si>
  <si>
    <t>Food/Organic Waste</t>
  </si>
  <si>
    <t>Secure Chemical Disposal</t>
  </si>
  <si>
    <t>WM Environmental</t>
  </si>
  <si>
    <t>IPCC Waste / US EPA WARM</t>
  </si>
  <si>
    <t>Plant-C</t>
  </si>
  <si>
    <t>Energy Recovery</t>
  </si>
  <si>
    <t>Republic Services</t>
  </si>
  <si>
    <t>Plant-F</t>
  </si>
  <si>
    <t>Wastewater (industrial)</t>
  </si>
  <si>
    <t>Recycling</t>
  </si>
  <si>
    <t>Renewi</t>
  </si>
  <si>
    <t>Waste manifest</t>
  </si>
  <si>
    <t>Plant-B</t>
  </si>
  <si>
    <t>Plastic Waste</t>
  </si>
  <si>
    <t>Anaerobic Digestion</t>
  </si>
  <si>
    <t>Biffa</t>
  </si>
  <si>
    <t>Plant-D</t>
  </si>
  <si>
    <t>Electronic Waste (WEEE)</t>
  </si>
  <si>
    <t>Landfill</t>
  </si>
  <si>
    <t>Remondis</t>
  </si>
  <si>
    <t>Metal Scrap</t>
  </si>
  <si>
    <t>Composting</t>
  </si>
  <si>
    <t>Covanta</t>
  </si>
  <si>
    <t>Rubber</t>
  </si>
  <si>
    <t>Incineration</t>
  </si>
  <si>
    <t>Contractor invoice</t>
  </si>
  <si>
    <t>Clean Harbors</t>
  </si>
  <si>
    <t>Paper &amp; Cardboard</t>
  </si>
  <si>
    <t>Veolia</t>
  </si>
  <si>
    <t>General Solid Waste</t>
  </si>
  <si>
    <t>Stericycle</t>
  </si>
  <si>
    <t>Plant-A</t>
  </si>
  <si>
    <t>Glass</t>
  </si>
  <si>
    <t>Suez</t>
  </si>
  <si>
    <t>Hazardous Chemical Waste</t>
  </si>
  <si>
    <t>Scope 3 – Category 6: Business Travel</t>
  </si>
  <si>
    <t>Employee ID</t>
  </si>
  <si>
    <t>Department</t>
  </si>
  <si>
    <t>Travel Type</t>
  </si>
  <si>
    <t>Origin City</t>
  </si>
  <si>
    <t>Destination City</t>
  </si>
  <si>
    <t>Travel Class</t>
  </si>
  <si>
    <t>Radiative Forcing Included (Y/N)</t>
  </si>
  <si>
    <t>Emission Factor (kg CO₂e/pkm)</t>
  </si>
  <si>
    <t>Emissions from Travel (tCO₂e)</t>
  </si>
  <si>
    <t>Hotel Nights</t>
  </si>
  <si>
    <t>Hotel EF (kg CO₂e/night)</t>
  </si>
  <si>
    <t>Hotel Emissions (tCO₂e)</t>
  </si>
  <si>
    <t>Total Trip Emissions (tCO₂e)</t>
  </si>
  <si>
    <t>Trip Purpose</t>
  </si>
  <si>
    <t>Booking Channel</t>
  </si>
  <si>
    <t>EMP-3000</t>
  </si>
  <si>
    <t>Sales</t>
  </si>
  <si>
    <t>International</t>
  </si>
  <si>
    <t>Mumbai</t>
  </si>
  <si>
    <t>Economy</t>
  </si>
  <si>
    <t>Supplier Visit</t>
  </si>
  <si>
    <t>Direct Booking</t>
  </si>
  <si>
    <t>EMP-3001</t>
  </si>
  <si>
    <t>Amsterdam</t>
  </si>
  <si>
    <t>Paris</t>
  </si>
  <si>
    <t>Bus</t>
  </si>
  <si>
    <t>Board Meeting</t>
  </si>
  <si>
    <t>Travel Agent</t>
  </si>
  <si>
    <t>EMP-3002</t>
  </si>
  <si>
    <t>Marketing</t>
  </si>
  <si>
    <t>Car – Electric</t>
  </si>
  <si>
    <t>N/A</t>
  </si>
  <si>
    <t>EMP-3003</t>
  </si>
  <si>
    <t>Finance</t>
  </si>
  <si>
    <t>Nairobi</t>
  </si>
  <si>
    <t>Car – Petrol</t>
  </si>
  <si>
    <t>EMP-3004</t>
  </si>
  <si>
    <t>Dubai</t>
  </si>
  <si>
    <t>Site Audit</t>
  </si>
  <si>
    <t>EMP-3005</t>
  </si>
  <si>
    <t>Legal</t>
  </si>
  <si>
    <t>Sydney</t>
  </si>
  <si>
    <t>Air – Long Haul</t>
  </si>
  <si>
    <t>Business</t>
  </si>
  <si>
    <t>Trade Show</t>
  </si>
  <si>
    <t>EMP-3006</t>
  </si>
  <si>
    <t>HR</t>
  </si>
  <si>
    <t>Seoul</t>
  </si>
  <si>
    <t>Corporate Travel Portal</t>
  </si>
  <si>
    <t>EMP-3007</t>
  </si>
  <si>
    <t>Toronto</t>
  </si>
  <si>
    <t>Tokyo</t>
  </si>
  <si>
    <t>Air – Short Haul</t>
  </si>
  <si>
    <t>EMP-3008</t>
  </si>
  <si>
    <t>Domestic</t>
  </si>
  <si>
    <t>New York</t>
  </si>
  <si>
    <t>London</t>
  </si>
  <si>
    <t>EMP-3009</t>
  </si>
  <si>
    <t>EMP-3010</t>
  </si>
  <si>
    <t>Frankfurt</t>
  </si>
  <si>
    <t>Client Meeting</t>
  </si>
  <si>
    <t>EMP-3011</t>
  </si>
  <si>
    <t>Conference</t>
  </si>
  <si>
    <t>EMP-3012</t>
  </si>
  <si>
    <t>Internal Review</t>
  </si>
  <si>
    <t>EMP-3013</t>
  </si>
  <si>
    <t>EMP-3014</t>
  </si>
  <si>
    <t>EMP-3015</t>
  </si>
  <si>
    <t>Operations</t>
  </si>
  <si>
    <t>Shanghai</t>
  </si>
  <si>
    <t>EMP-3016</t>
  </si>
  <si>
    <t>EMP-3017</t>
  </si>
  <si>
    <t>Training</t>
  </si>
  <si>
    <t>EMP-3018</t>
  </si>
  <si>
    <t>EMP-3019</t>
  </si>
  <si>
    <t>EMP-3020</t>
  </si>
  <si>
    <t>EMP-3021</t>
  </si>
  <si>
    <t>EMP-3022</t>
  </si>
  <si>
    <t>EMP-3023</t>
  </si>
  <si>
    <t>Procurement</t>
  </si>
  <si>
    <t>EMP-3024</t>
  </si>
  <si>
    <t>Taxi/Rideshare</t>
  </si>
  <si>
    <t>EMP-3025</t>
  </si>
  <si>
    <t>EMP-3026</t>
  </si>
  <si>
    <t>R&amp;D</t>
  </si>
  <si>
    <t>EMP-3027</t>
  </si>
  <si>
    <t>EMP-3028</t>
  </si>
  <si>
    <t>EMP-3029</t>
  </si>
  <si>
    <t>EMP-3030</t>
  </si>
  <si>
    <t>EMP-3031</t>
  </si>
  <si>
    <t>EMP-3032</t>
  </si>
  <si>
    <t>EMP-3033</t>
  </si>
  <si>
    <t>EMP-3034</t>
  </si>
  <si>
    <t>EMP-3035</t>
  </si>
  <si>
    <t>São Paulo</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</si>
  <si>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</si>
  <si>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</si>
  <si>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</si>
  <si>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</si>
  <si>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</si>
  <si>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</si>
  <si>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</si>
  <si>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</si>
  <si>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</si>
  <si>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</si>
  <si>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</si>
  <si>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</si>
  <si>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</si>
  <si>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</si>
  <si>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</si>
  <si>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</si>
  <si>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</si>
  <si>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</si>
  <si>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</si>
  <si>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</si>
  <si>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</si>
  <si>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</si>
  <si>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</si>
  <si>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</si>
  <si>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</si>
  <si>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</si>
  <si>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</si>
  <si>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</si>
  <si>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</si>
  <si>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</si>
  <si>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</si>
  <si>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</si>
  <si>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</si>
  <si>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</si>
  <si>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</si>
  <si>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</si>
  <si>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</si>
  <si>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</si>
  <si>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</si>
  <si>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</si>
  <si>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</si>
  <si>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</si>
  <si>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</si>
  <si>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</si>
  <si>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</si>
  <si>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</si>
  <si>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</si>
  <si>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</si>
  <si>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</si>
  <si>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</si>
  <si>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</si>
  <si>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</si>
  <si>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</si>
  <si>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</si>
  <si>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</si>
  <si>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</si>
  <si>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</si>
  <si>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</si>
  <si>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</si>
  <si>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</si>
  <si>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</si>
  <si>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</si>
  <si>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</si>
  <si>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</si>
  <si>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Scope 3 – Category 7: Employee Commuting</t>
  </si>
  <si>
    <t>Work Location</t>
  </si>
  <si>
    <t>Commute Mode</t>
  </si>
  <si>
    <t>Weekly Commute Days</t>
  </si>
  <si>
    <t>One-Way Distance (km)</t>
  </si>
  <si>
    <t>Annual Working Weeks</t>
  </si>
  <si>
    <t>Annual Commute Distance (km)</t>
  </si>
  <si>
    <t>Emission Factor (kg CO₂e/km)</t>
  </si>
  <si>
    <t>Annual Emissions (tCO₂e)</t>
  </si>
  <si>
    <t>WFH Days per Week</t>
  </si>
  <si>
    <t>WFH Energy Consumption (kWh/day)</t>
  </si>
  <si>
    <t>WFH Grid EF (kg CO₂e/kWh)</t>
  </si>
  <si>
    <t>WFH Annual Emissions (tCO₂e)</t>
  </si>
  <si>
    <t>Total Annual Emissions (tCO₂e)</t>
  </si>
  <si>
    <t>EMP-5000</t>
  </si>
  <si>
    <t>IT</t>
  </si>
  <si>
    <t>Warehouse</t>
  </si>
  <si>
    <t>Electric Vehicle</t>
  </si>
  <si>
    <t>Employee survey</t>
  </si>
  <si>
    <t>EMP-5001</t>
  </si>
  <si>
    <t>Manufacturing Plant</t>
  </si>
  <si>
    <t>Motorcycle</t>
  </si>
  <si>
    <t>HR payroll data</t>
  </si>
  <si>
    <t>EMP-5002</t>
  </si>
  <si>
    <t>R&amp;D Centre</t>
  </si>
  <si>
    <t>Walking</t>
  </si>
  <si>
    <t>Estimated</t>
  </si>
  <si>
    <t>EMP-5003</t>
  </si>
  <si>
    <t>EMP-5004</t>
  </si>
  <si>
    <t>Cycle</t>
  </si>
  <si>
    <t>EMP-5005</t>
  </si>
  <si>
    <t>EMP-5006</t>
  </si>
  <si>
    <t>Head Office</t>
  </si>
  <si>
    <t>Private Car – Diesel</t>
  </si>
  <si>
    <t>EMP-5007</t>
  </si>
  <si>
    <t>Regional Office</t>
  </si>
  <si>
    <t>EMP-5008</t>
  </si>
  <si>
    <t>Private Car – Petrol</t>
  </si>
  <si>
    <t>EMP-5009</t>
  </si>
  <si>
    <t>Metro / Suburban Rail</t>
  </si>
  <si>
    <t>EMP-5010</t>
  </si>
  <si>
    <t>Manufacturing</t>
  </si>
  <si>
    <t>EMP-5011</t>
  </si>
  <si>
    <t>Carpool</t>
  </si>
  <si>
    <t>EMP-5012</t>
  </si>
  <si>
    <t>EMP-5013</t>
  </si>
  <si>
    <t>Public Bus</t>
  </si>
  <si>
    <t>EMP-5014</t>
  </si>
  <si>
    <t>EMP-5015</t>
  </si>
  <si>
    <t>EMP-5016</t>
  </si>
  <si>
    <t>EMP-5017</t>
  </si>
  <si>
    <t>EMP-5018</t>
  </si>
  <si>
    <t>EMP-5019</t>
  </si>
  <si>
    <t>EMP-5020</t>
  </si>
  <si>
    <t>EMP-5021</t>
  </si>
  <si>
    <t>EMP-5022</t>
  </si>
  <si>
    <t>EMP-5023</t>
  </si>
  <si>
    <t>EMP-5024</t>
  </si>
  <si>
    <t>EMP-5025</t>
  </si>
  <si>
    <t>EMP-5026</t>
  </si>
  <si>
    <t>EMP-5027</t>
  </si>
  <si>
    <t>EMP-5028</t>
  </si>
  <si>
    <t>EMP-5029</t>
  </si>
  <si>
    <t>EMP-5030</t>
  </si>
  <si>
    <t>EMP-5031</t>
  </si>
  <si>
    <t>EMP-5032</t>
  </si>
  <si>
    <t>EMP-5033</t>
  </si>
  <si>
    <t>EMP-5034</t>
  </si>
  <si>
    <t>EMP-5035</t>
  </si>
  <si>
    <t>EMP-5036</t>
  </si>
  <si>
    <t>EMP-5037</t>
  </si>
  <si>
    <t>EMP-5038</t>
  </si>
  <si>
    <t>EMP-5039</t>
  </si>
  <si>
    <t>EMP-5040</t>
  </si>
  <si>
    <t>EMP-5041</t>
  </si>
  <si>
    <t>EMP-5042</t>
  </si>
  <si>
    <t>EMP-5043</t>
  </si>
  <si>
    <t>EMP-5044</t>
  </si>
  <si>
    <t>EMP-5045</t>
  </si>
  <si>
    <t>EMP-5046</t>
  </si>
  <si>
    <t>EMP-5047</t>
  </si>
  <si>
    <t>EMP-5048</t>
  </si>
  <si>
    <t>EMP-5049</t>
  </si>
  <si>
    <t>EMP-5050</t>
  </si>
  <si>
    <t>EMP-5051</t>
  </si>
  <si>
    <t>EMP-5052</t>
  </si>
  <si>
    <t>EMP-5053</t>
  </si>
  <si>
    <t>EMP-5054</t>
  </si>
  <si>
    <t>EMP-5055</t>
  </si>
  <si>
    <t>EMP-5056</t>
  </si>
  <si>
    <t>EMP-5057</t>
  </si>
  <si>
    <t>EMP-5058</t>
  </si>
  <si>
    <t>EMP-5059</t>
  </si>
  <si>
    <t>EMP-5060</t>
  </si>
  <si>
    <t>EMP-5061</t>
  </si>
  <si>
    <t>EMP-5062</t>
  </si>
  <si>
    <t>EMP-5063</t>
  </si>
  <si>
    <t>EMP-5064</t>
  </si>
  <si>
    <t>EMP-5065</t>
  </si>
  <si>
    <t>EMP-5066</t>
  </si>
  <si>
    <t>EMP-5067</t>
  </si>
  <si>
    <t>EMP-5068</t>
  </si>
  <si>
    <t>EMP-5069</t>
  </si>
  <si>
    <t>EMP-5070</t>
  </si>
  <si>
    <t>EMP-5071</t>
  </si>
  <si>
    <t>EMP-5072</t>
  </si>
  <si>
    <t>EMP-5073</t>
  </si>
  <si>
    <t>EMP-5074</t>
  </si>
  <si>
    <t>EMP-5075</t>
  </si>
  <si>
    <t>EMP-5076</t>
  </si>
  <si>
    <t>EMP-5077</t>
  </si>
  <si>
    <t>EMP-5078</t>
  </si>
  <si>
    <t>EMP-5079</t>
  </si>
  <si>
    <t>EMP-5080</t>
  </si>
  <si>
    <t>EMP-5081</t>
  </si>
  <si>
    <t>EMP-5082</t>
  </si>
  <si>
    <t>EMP-5083</t>
  </si>
  <si>
    <t>EMP-5084</t>
  </si>
  <si>
    <t>EMP-5085</t>
  </si>
  <si>
    <t>EMP-5086</t>
  </si>
  <si>
    <t>EMP-5087</t>
  </si>
  <si>
    <t>EMP-5088</t>
  </si>
  <si>
    <t>EMP-5089</t>
  </si>
  <si>
    <t>EMP-5090</t>
  </si>
  <si>
    <t>EMP-5091</t>
  </si>
  <si>
    <t>EMP-5092</t>
  </si>
  <si>
    <t>EMP-5093</t>
  </si>
  <si>
    <t>EMP-5094</t>
  </si>
  <si>
    <t>EMP-5095</t>
  </si>
  <si>
    <t>EMP-5096</t>
  </si>
  <si>
    <t>EMP-5097</t>
  </si>
  <si>
    <t>EMP-5098</t>
  </si>
  <si>
    <t>EMP-5099</t>
  </si>
  <si>
    <t>Scope 3 – Category 8: Upstream Leased Assets</t>
  </si>
  <si>
    <t>Asset ID</t>
  </si>
  <si>
    <t>Asset Type</t>
  </si>
  <si>
    <t>Lessor Name</t>
  </si>
  <si>
    <t>Lease Start Date</t>
  </si>
  <si>
    <t>Lease End Date</t>
  </si>
  <si>
    <t>Floor Area / Capacity</t>
  </si>
  <si>
    <t>Energy Consumed (kWh)</t>
  </si>
  <si>
    <t>Fuel Consumed (GJ)</t>
  </si>
  <si>
    <t>Grid EF – Electricity (kg CO₂e/kWh)</t>
  </si>
  <si>
    <t>Fuel EF (kg CO₂e/GJ)</t>
  </si>
  <si>
    <t>Elec Emissions (tCO₂e)</t>
  </si>
  <si>
    <t>Fuel Emissions (tCO₂e)</t>
  </si>
  <si>
    <t>Total Emissions (tCO₂e)</t>
  </si>
  <si>
    <t>Annual Lease Cost (USD)</t>
  </si>
  <si>
    <t>LA-6000</t>
  </si>
  <si>
    <t>Car Park</t>
  </si>
  <si>
    <t>JLL Property</t>
  </si>
  <si>
    <t>01-Jan-2019</t>
  </si>
  <si>
    <t>31-Dec-2029</t>
  </si>
  <si>
    <t>m²</t>
  </si>
  <si>
    <t>Lessor-reported</t>
  </si>
  <si>
    <t>LA-6001</t>
  </si>
  <si>
    <t>Savills</t>
  </si>
  <si>
    <t>01-Jan-2018</t>
  </si>
  <si>
    <t>31-Dec-2024</t>
  </si>
  <si>
    <t>LA-6002</t>
  </si>
  <si>
    <t>Office Space</t>
  </si>
  <si>
    <t>CBRE GWS</t>
  </si>
  <si>
    <t>01-Jan-2020</t>
  </si>
  <si>
    <t>LA-6003</t>
  </si>
  <si>
    <t>Retail Unit</t>
  </si>
  <si>
    <t>Segro</t>
  </si>
  <si>
    <t>31-Dec-2025</t>
  </si>
  <si>
    <t>LA-6004</t>
  </si>
  <si>
    <t>31-Dec-2030</t>
  </si>
  <si>
    <t>LA-6005</t>
  </si>
  <si>
    <t>Manufacturing Shed</t>
  </si>
  <si>
    <t>31-Dec-2028</t>
  </si>
  <si>
    <t>LA-6006</t>
  </si>
  <si>
    <t>Laboratory Space</t>
  </si>
  <si>
    <t>GLP</t>
  </si>
  <si>
    <t>01-Jan-2021</t>
  </si>
  <si>
    <t>LA-6007</t>
  </si>
  <si>
    <t>LA-6008</t>
  </si>
  <si>
    <t>Server Co-Location</t>
  </si>
  <si>
    <t>LA-6009</t>
  </si>
  <si>
    <t>LA-6010</t>
  </si>
  <si>
    <t>LA-6011</t>
  </si>
  <si>
    <t>Cold Storage</t>
  </si>
  <si>
    <t>Colliers</t>
  </si>
  <si>
    <t>31-Dec-2026</t>
  </si>
  <si>
    <t>LA-6012</t>
  </si>
  <si>
    <t>Leased Vehicle</t>
  </si>
  <si>
    <t>vehicles</t>
  </si>
  <si>
    <t>LA-6013</t>
  </si>
  <si>
    <t>01-Jan-2022</t>
  </si>
  <si>
    <t>LA-6014</t>
  </si>
  <si>
    <t>LaSalle IM</t>
  </si>
  <si>
    <t>LA-6015</t>
  </si>
  <si>
    <t>LA-6016</t>
  </si>
  <si>
    <t>LA-6017</t>
  </si>
  <si>
    <t>LA-6018</t>
  </si>
  <si>
    <t>Brookfield Asset Mgmt</t>
  </si>
  <si>
    <t>31-Dec-2027</t>
  </si>
  <si>
    <t>LA-6019</t>
  </si>
  <si>
    <t>LA-6020</t>
  </si>
  <si>
    <t>LA-6021</t>
  </si>
  <si>
    <t>LA-6022</t>
  </si>
  <si>
    <t>Data Centre Rack</t>
  </si>
  <si>
    <t>LA-6023</t>
  </si>
  <si>
    <t>LA-6024</t>
  </si>
  <si>
    <t>LA-6025</t>
  </si>
  <si>
    <t>LA-6026</t>
  </si>
  <si>
    <t>LA-6027</t>
  </si>
  <si>
    <t>LA-6028</t>
  </si>
  <si>
    <t>LA-6029</t>
  </si>
  <si>
    <t>LA-6030</t>
  </si>
  <si>
    <t>LA-6031</t>
  </si>
  <si>
    <t>LA-6032</t>
  </si>
  <si>
    <t>LA-6033</t>
  </si>
  <si>
    <t>LA-6034</t>
  </si>
  <si>
    <t>Knight Frank</t>
  </si>
  <si>
    <t>LA-6035</t>
  </si>
  <si>
    <t>Prologis</t>
  </si>
  <si>
    <t>LA-6036</t>
  </si>
  <si>
    <t>LA-6037</t>
  </si>
  <si>
    <t>LA-6038</t>
  </si>
  <si>
    <t>LA-6039</t>
  </si>
  <si>
    <t>LA-6040</t>
  </si>
  <si>
    <t>LA-6041</t>
  </si>
  <si>
    <t>LA-6042</t>
  </si>
  <si>
    <t>LA-6043</t>
  </si>
  <si>
    <t>LA-6044</t>
  </si>
  <si>
    <t>LA-6045</t>
  </si>
  <si>
    <t>LA-6046</t>
  </si>
  <si>
    <t>LA-6047</t>
  </si>
  <si>
    <t>LA-6048</t>
  </si>
  <si>
    <t>LA-6049</t>
  </si>
  <si>
    <t>LA-6050</t>
  </si>
  <si>
    <t>LA-6051</t>
  </si>
  <si>
    <t>LA-6052</t>
  </si>
  <si>
    <t>LA-6053</t>
  </si>
  <si>
    <t>LA-6054</t>
  </si>
  <si>
    <t>LA-6055</t>
  </si>
  <si>
    <t>LA-6056</t>
  </si>
  <si>
    <t>LA-6057</t>
  </si>
  <si>
    <t>LA-6058</t>
  </si>
  <si>
    <t>LA-6059</t>
  </si>
  <si>
    <t>LA-6060</t>
  </si>
  <si>
    <t>LA-6061</t>
  </si>
  <si>
    <t>LA-6062</t>
  </si>
  <si>
    <t>LA-6063</t>
  </si>
  <si>
    <t>LA-6064</t>
  </si>
  <si>
    <t>LA-6065</t>
  </si>
  <si>
    <t>LA-6066</t>
  </si>
  <si>
    <t>LA-6067</t>
  </si>
  <si>
    <t>LA-6068</t>
  </si>
  <si>
    <t>LA-6069</t>
  </si>
  <si>
    <t>LA-6070</t>
  </si>
  <si>
    <t>LA-6071</t>
  </si>
  <si>
    <t>LA-6072</t>
  </si>
  <si>
    <t>LA-6073</t>
  </si>
  <si>
    <t>LA-6074</t>
  </si>
  <si>
    <t>LA-6075</t>
  </si>
  <si>
    <t>LA-6076</t>
  </si>
  <si>
    <t>LA-6077</t>
  </si>
  <si>
    <t>LA-6078</t>
  </si>
  <si>
    <t>LA-6079</t>
  </si>
  <si>
    <t>LA-6080</t>
  </si>
  <si>
    <t>LA-6081</t>
  </si>
  <si>
    <t>LA-6082</t>
  </si>
  <si>
    <t>LA-6083</t>
  </si>
  <si>
    <t>LA-6084</t>
  </si>
  <si>
    <t>LA-6085</t>
  </si>
  <si>
    <t>LA-6086</t>
  </si>
  <si>
    <t>LA-6087</t>
  </si>
  <si>
    <t>LA-6088</t>
  </si>
  <si>
    <t>LA-6089</t>
  </si>
  <si>
    <t>LA-6090</t>
  </si>
  <si>
    <t>LA-6091</t>
  </si>
  <si>
    <t>LA-6092</t>
  </si>
  <si>
    <t>LA-6093</t>
  </si>
  <si>
    <t>LA-6094</t>
  </si>
  <si>
    <t>LA-6095</t>
  </si>
  <si>
    <t>LA-6096</t>
  </si>
  <si>
    <t>LA-6097</t>
  </si>
  <si>
    <t>LA-6098</t>
  </si>
  <si>
    <t>LA-6099</t>
  </si>
  <si>
    <t>Scope 3 – Category 9: Downstream Transportation &amp; Distribution</t>
  </si>
  <si>
    <t>Origin (Warehouse/DC)</t>
  </si>
  <si>
    <t>Customer Segment</t>
  </si>
  <si>
    <t>3PL Carrier</t>
  </si>
  <si>
    <t>EF (kg CO₂e/tonne-km)</t>
  </si>
  <si>
    <t>Transport Emissions (tCO₂e)</t>
  </si>
  <si>
    <t>Warehouse Area (m²)</t>
  </si>
  <si>
    <t>Warehousing Energy (kWh)</t>
  </si>
  <si>
    <t>Warehousing Emissions (tCO₂e)</t>
  </si>
  <si>
    <t>OUT-30000</t>
  </si>
  <si>
    <t>Central Warehouse</t>
  </si>
  <si>
    <t>Government</t>
  </si>
  <si>
    <t>Last-mile (Van)</t>
  </si>
  <si>
    <t>GLS</t>
  </si>
  <si>
    <t>OUT-30001</t>
  </si>
  <si>
    <t>DC-East</t>
  </si>
  <si>
    <t>B2B Wholesale</t>
  </si>
  <si>
    <t>OUT-30002</t>
  </si>
  <si>
    <t>B2C E-commerce</t>
  </si>
  <si>
    <t>Last-mile (Electric Van)</t>
  </si>
  <si>
    <t>Yodel</t>
  </si>
  <si>
    <t>OUT-30003</t>
  </si>
  <si>
    <t>DC-North</t>
  </si>
  <si>
    <t>OUT-30004</t>
  </si>
  <si>
    <t>Retail Partner</t>
  </si>
  <si>
    <t>OUT-30005</t>
  </si>
  <si>
    <t>Distributor</t>
  </si>
  <si>
    <t>XPO</t>
  </si>
  <si>
    <t>OUT-30006</t>
  </si>
  <si>
    <t>DC-South</t>
  </si>
  <si>
    <t>OUT-30007</t>
  </si>
  <si>
    <t>OUT-30008</t>
  </si>
  <si>
    <t>DC-West</t>
  </si>
  <si>
    <t>OUT-30009</t>
  </si>
  <si>
    <t>OUT-30010</t>
  </si>
  <si>
    <t>OUT-30011</t>
  </si>
  <si>
    <t>Hermes</t>
  </si>
  <si>
    <t>OUT-30012</t>
  </si>
  <si>
    <t>OUT-30013</t>
  </si>
  <si>
    <t>OUT-30014</t>
  </si>
  <si>
    <t>Amazon Logistics</t>
  </si>
  <si>
    <t>OUT-30015</t>
  </si>
  <si>
    <t>DPDHL</t>
  </si>
  <si>
    <t>OUT-30016</t>
  </si>
  <si>
    <t>OUT-30017</t>
  </si>
  <si>
    <t>OUT-30018</t>
  </si>
  <si>
    <t>OUT-30019</t>
  </si>
  <si>
    <t>OUT-30020</t>
  </si>
  <si>
    <t>OUT-30021</t>
  </si>
  <si>
    <t>OUT-30022</t>
  </si>
  <si>
    <t>OUT-30023</t>
  </si>
  <si>
    <t>OUT-30024</t>
  </si>
  <si>
    <t>OUT-30025</t>
  </si>
  <si>
    <t>OUT-30026</t>
  </si>
  <si>
    <t>OUT-30027</t>
  </si>
  <si>
    <t>OUT-30028</t>
  </si>
  <si>
    <t>OUT-30029</t>
  </si>
  <si>
    <t>OUT-30030</t>
  </si>
  <si>
    <t>OUT-30031</t>
  </si>
  <si>
    <t>OUT-30032</t>
  </si>
  <si>
    <t>OUT-30033</t>
  </si>
  <si>
    <t>OUT-30034</t>
  </si>
  <si>
    <t>OUT-30035</t>
  </si>
  <si>
    <t>OUT-30036</t>
  </si>
  <si>
    <t>OUT-30037</t>
  </si>
  <si>
    <t>OUT-30038</t>
  </si>
  <si>
    <t>OUT-30039</t>
  </si>
  <si>
    <t>OUT-30040</t>
  </si>
  <si>
    <t>OUT-30041</t>
  </si>
  <si>
    <t>OUT-30042</t>
  </si>
  <si>
    <t>OUT-30043</t>
  </si>
  <si>
    <t>OUT-30044</t>
  </si>
  <si>
    <t>OUT-30045</t>
  </si>
  <si>
    <t>OUT-30046</t>
  </si>
  <si>
    <t>OUT-30047</t>
  </si>
  <si>
    <t>OUT-30048</t>
  </si>
  <si>
    <t>OUT-30049</t>
  </si>
  <si>
    <t>OUT-30050</t>
  </si>
  <si>
    <t>OUT-30051</t>
  </si>
  <si>
    <t>OUT-30052</t>
  </si>
  <si>
    <t>OUT-30053</t>
  </si>
  <si>
    <t>OUT-30054</t>
  </si>
  <si>
    <t>OUT-30055</t>
  </si>
  <si>
    <t>OUT-30056</t>
  </si>
  <si>
    <t>OUT-30057</t>
  </si>
  <si>
    <t>OUT-30058</t>
  </si>
  <si>
    <t>OUT-30059</t>
  </si>
  <si>
    <t>OUT-30060</t>
  </si>
  <si>
    <t>OUT-30061</t>
  </si>
  <si>
    <t>OUT-30062</t>
  </si>
  <si>
    <t>OUT-30063</t>
  </si>
  <si>
    <t>OUT-30064</t>
  </si>
  <si>
    <t>OUT-30065</t>
  </si>
  <si>
    <t>OUT-30066</t>
  </si>
  <si>
    <t>OUT-30067</t>
  </si>
  <si>
    <t>OUT-30068</t>
  </si>
  <si>
    <t>OUT-30069</t>
  </si>
  <si>
    <t>OUT-30070</t>
  </si>
  <si>
    <t>OUT-30071</t>
  </si>
  <si>
    <t>OUT-30072</t>
  </si>
  <si>
    <t>OUT-30073</t>
  </si>
  <si>
    <t>OUT-30074</t>
  </si>
  <si>
    <t>OUT-30075</t>
  </si>
  <si>
    <t>OUT-30076</t>
  </si>
  <si>
    <t>OUT-30077</t>
  </si>
  <si>
    <t>OUT-30078</t>
  </si>
  <si>
    <t>OUT-30079</t>
  </si>
  <si>
    <t>OUT-30080</t>
  </si>
  <si>
    <t>OUT-30081</t>
  </si>
  <si>
    <t>OUT-30082</t>
  </si>
  <si>
    <t>OUT-30083</t>
  </si>
  <si>
    <t>OUT-30084</t>
  </si>
  <si>
    <t>OUT-30085</t>
  </si>
  <si>
    <t>OUT-30086</t>
  </si>
  <si>
    <t>OUT-30087</t>
  </si>
  <si>
    <t>OUT-30088</t>
  </si>
  <si>
    <t>OUT-30089</t>
  </si>
  <si>
    <t>OUT-30090</t>
  </si>
  <si>
    <t>OUT-30091</t>
  </si>
  <si>
    <t>OUT-30092</t>
  </si>
  <si>
    <t>OUT-30093</t>
  </si>
  <si>
    <t>OUT-30094</t>
  </si>
  <si>
    <t>OUT-30095</t>
  </si>
  <si>
    <t>OUT-30096</t>
  </si>
  <si>
    <t>OUT-30097</t>
  </si>
  <si>
    <t>OUT-30098</t>
  </si>
  <si>
    <t>OUT-30099</t>
  </si>
  <si>
    <t>Scope 3 – Category 10: Processing of Sold Products</t>
  </si>
  <si>
    <t>Customer / Processor</t>
  </si>
  <si>
    <t>Intermediate Product Sold</t>
  </si>
  <si>
    <t>Product Description</t>
  </si>
  <si>
    <t>Mass Sold (tonne)</t>
  </si>
  <si>
    <t>Processing Type</t>
  </si>
  <si>
    <t>Energy Required for Processing (GJ/tonne)</t>
  </si>
  <si>
    <t>Grid EF at Processing Site (kg CO₂e/kWh)</t>
  </si>
  <si>
    <t>Process EF (kg CO₂e/tonne)</t>
  </si>
  <si>
    <t>Total Processing Emissions (tCO₂e)</t>
  </si>
  <si>
    <t>Site-Specific Data (Y/N)</t>
  </si>
  <si>
    <t>Customer Sector</t>
  </si>
  <si>
    <t>Glass Cullet</t>
  </si>
  <si>
    <t>Intermediate Steel Slab</t>
  </si>
  <si>
    <t>Extrusion</t>
  </si>
  <si>
    <t>Automotive</t>
  </si>
  <si>
    <t>Customer-reported</t>
  </si>
  <si>
    <t>Textile Yarn</t>
  </si>
  <si>
    <t>Intermediate Aluminium Billet</t>
  </si>
  <si>
    <t>Electronics</t>
  </si>
  <si>
    <t>Process engineering estimate</t>
  </si>
  <si>
    <t>Ceramic Powder</t>
  </si>
  <si>
    <t>Intermediate Plastic Resin Pellets</t>
  </si>
  <si>
    <t>Intermediate Chemical Precursor</t>
  </si>
  <si>
    <t>Textiles</t>
  </si>
  <si>
    <t>Rubber Compound</t>
  </si>
  <si>
    <t>Intermediate Rubber Compound</t>
  </si>
  <si>
    <t>Casting</t>
  </si>
  <si>
    <t>Plastic Resin Pellets</t>
  </si>
  <si>
    <t>Intermediate Pulp (paper grade)</t>
  </si>
  <si>
    <t>Moulding</t>
  </si>
  <si>
    <t>Agriculture</t>
  </si>
  <si>
    <t>Copper Rod</t>
  </si>
  <si>
    <t>Intermediate Copper Rod</t>
  </si>
  <si>
    <t>Blending</t>
  </si>
  <si>
    <t>Consumer Goods</t>
  </si>
  <si>
    <t>Chemical Precursor</t>
  </si>
  <si>
    <t>Sintering</t>
  </si>
  <si>
    <t>Aerospace</t>
  </si>
  <si>
    <t>Pulp (paper grade)</t>
  </si>
  <si>
    <t>Intermediate Glass Cullet</t>
  </si>
  <si>
    <t>Weaving</t>
  </si>
  <si>
    <t>Medical Devices</t>
  </si>
  <si>
    <t>Calendering</t>
  </si>
  <si>
    <t>Construction</t>
  </si>
  <si>
    <t>Aluminium Billet</t>
  </si>
  <si>
    <t>Pultrusion</t>
  </si>
  <si>
    <t>Stamping</t>
  </si>
  <si>
    <t>Steel Slab</t>
  </si>
  <si>
    <t>Forming</t>
  </si>
  <si>
    <t>Intermediate Ceramic Powder</t>
  </si>
  <si>
    <t>Intermediate Textile Yarn</t>
  </si>
  <si>
    <t>Scope 3 – Category 11: Use of Sold Products</t>
  </si>
  <si>
    <t>Product Model / SKU</t>
  </si>
  <si>
    <t>Units Sold</t>
  </si>
  <si>
    <t>Product Lifetime (Years)</t>
  </si>
  <si>
    <t>Annual Energy Use (kWh/unit/yr)</t>
  </si>
  <si>
    <t>Lifetime Energy Use (kWh/unit)</t>
  </si>
  <si>
    <t>Fuel Consumed per Unit (L/yr)</t>
  </si>
  <si>
    <t>Fuel Type</t>
  </si>
  <si>
    <t>Fuel EF (kg CO₂e/L)</t>
  </si>
  <si>
    <t>Use-Phase EF – Electricity (kg CO₂e/unit lifetime)</t>
  </si>
  <si>
    <t>Use-Phase EF – Fuel (kg CO₂e/unit lifetime)</t>
  </si>
  <si>
    <t>Total Emissions – Electricity (tCO₂e)</t>
  </si>
  <si>
    <t>Total Emissions – Fuel (tCO₂e)</t>
  </si>
  <si>
    <t>Grand Total Use-Phase Emissions (tCO₂e)</t>
  </si>
  <si>
    <t>Market / Region</t>
  </si>
  <si>
    <t>SKU-70000</t>
  </si>
  <si>
    <t>EU</t>
  </si>
  <si>
    <t>Product spec</t>
  </si>
  <si>
    <t>Electric</t>
  </si>
  <si>
    <t>SKU-70001</t>
  </si>
  <si>
    <t>Sub-Saharan Africa</t>
  </si>
  <si>
    <t>Customer survey</t>
  </si>
  <si>
    <t>SKU-70002</t>
  </si>
  <si>
    <t>ASEAN</t>
  </si>
  <si>
    <t>Average-data</t>
  </si>
  <si>
    <t>Refrigerator</t>
  </si>
  <si>
    <t>SKU-70003</t>
  </si>
  <si>
    <t>SKU-70004</t>
  </si>
  <si>
    <t>SKU-70005</t>
  </si>
  <si>
    <t>SKU-70006</t>
  </si>
  <si>
    <t>LED</t>
  </si>
  <si>
    <t>SKU-70007</t>
  </si>
  <si>
    <t>SKU-70008</t>
  </si>
  <si>
    <t>Industrial</t>
  </si>
  <si>
    <t>SKU-70009</t>
  </si>
  <si>
    <t>Middle East</t>
  </si>
  <si>
    <t>Laptop</t>
  </si>
  <si>
    <t>SKU-70010</t>
  </si>
  <si>
    <t>SKU-70011</t>
  </si>
  <si>
    <t>SKU-70012</t>
  </si>
  <si>
    <t>SKU-70013</t>
  </si>
  <si>
    <t>Petrol</t>
  </si>
  <si>
    <t>SKU-70014</t>
  </si>
  <si>
    <t>Washing</t>
  </si>
  <si>
    <t>SKU-70015</t>
  </si>
  <si>
    <t>SKU-70016</t>
  </si>
  <si>
    <t>SKU-70017</t>
  </si>
  <si>
    <t>SKU-70018</t>
  </si>
  <si>
    <t>SKU-70019</t>
  </si>
  <si>
    <t>SKU-70020</t>
  </si>
  <si>
    <t>SKU-70021</t>
  </si>
  <si>
    <t>SKU-70022</t>
  </si>
  <si>
    <t>SKU-70023</t>
  </si>
  <si>
    <t>SKU-70024</t>
  </si>
  <si>
    <t>SKU-70025</t>
  </si>
  <si>
    <t>SKU-70026</t>
  </si>
  <si>
    <t>SKU-70027</t>
  </si>
  <si>
    <t>SKU-70028</t>
  </si>
  <si>
    <t>SKU-70029</t>
  </si>
  <si>
    <t>SKU-70030</t>
  </si>
  <si>
    <t>SKU-70031</t>
  </si>
  <si>
    <t>SKU-70032</t>
  </si>
  <si>
    <t>SKU-70033</t>
  </si>
  <si>
    <t>SKU-70034</t>
  </si>
  <si>
    <t>SKU-70035</t>
  </si>
  <si>
    <t>SKU-70036</t>
  </si>
  <si>
    <t>SKU-70037</t>
  </si>
  <si>
    <t>SKU-70038</t>
  </si>
  <si>
    <t>SKU-70039</t>
  </si>
  <si>
    <t>SKU-70040</t>
  </si>
  <si>
    <t>SKU-70041</t>
  </si>
  <si>
    <t>SKU-70042</t>
  </si>
  <si>
    <t>SKU-70043</t>
  </si>
  <si>
    <t>SKU-70044</t>
  </si>
  <si>
    <t>SKU-70045</t>
  </si>
  <si>
    <t>SKU-70046</t>
  </si>
  <si>
    <t>SKU-70047</t>
  </si>
  <si>
    <t>SKU-70048</t>
  </si>
  <si>
    <t>SKU-70049</t>
  </si>
  <si>
    <t>SKU-70050</t>
  </si>
  <si>
    <t>SKU-70051</t>
  </si>
  <si>
    <t>SKU-70052</t>
  </si>
  <si>
    <t>SKU-70053</t>
  </si>
  <si>
    <t>SKU-70054</t>
  </si>
  <si>
    <t>SKU-70055</t>
  </si>
  <si>
    <t>SKU-70056</t>
  </si>
  <si>
    <t>SKU-70057</t>
  </si>
  <si>
    <t>SKU-70058</t>
  </si>
  <si>
    <t>SKU-70059</t>
  </si>
  <si>
    <t>SKU-70060</t>
  </si>
  <si>
    <t>SKU-70061</t>
  </si>
  <si>
    <t>SKU-70062</t>
  </si>
  <si>
    <t>SKU-70063</t>
  </si>
  <si>
    <t>SKU-70064</t>
  </si>
  <si>
    <t>SKU-70065</t>
  </si>
  <si>
    <t>SKU-70066</t>
  </si>
  <si>
    <t>SKU-70067</t>
  </si>
  <si>
    <t>SKU-70068</t>
  </si>
  <si>
    <t>SKU-70069</t>
  </si>
  <si>
    <t>SKU-70070</t>
  </si>
  <si>
    <t>SKU-70071</t>
  </si>
  <si>
    <t>SKU-70072</t>
  </si>
  <si>
    <t>SKU-70073</t>
  </si>
  <si>
    <t>SKU-70074</t>
  </si>
  <si>
    <t>SKU-70075</t>
  </si>
  <si>
    <t>SKU-70076</t>
  </si>
  <si>
    <t>SKU-70077</t>
  </si>
  <si>
    <t>SKU-70078</t>
  </si>
  <si>
    <t>SKU-70079</t>
  </si>
  <si>
    <t>SKU-70080</t>
  </si>
  <si>
    <t>SKU-70081</t>
  </si>
  <si>
    <t>SKU-70082</t>
  </si>
  <si>
    <t>SKU-70083</t>
  </si>
  <si>
    <t>SKU-70084</t>
  </si>
  <si>
    <t>SKU-70085</t>
  </si>
  <si>
    <t>SKU-70086</t>
  </si>
  <si>
    <t>SKU-70087</t>
  </si>
  <si>
    <t>SKU-70088</t>
  </si>
  <si>
    <t>SKU-70089</t>
  </si>
  <si>
    <t>SKU-70090</t>
  </si>
  <si>
    <t>SKU-70091</t>
  </si>
  <si>
    <t>SKU-70092</t>
  </si>
  <si>
    <t>SKU-70093</t>
  </si>
  <si>
    <t>SKU-70094</t>
  </si>
  <si>
    <t>SKU-70095</t>
  </si>
  <si>
    <t>SKU-70096</t>
  </si>
  <si>
    <t>SKU-70097</t>
  </si>
  <si>
    <t>SKU-70098</t>
  </si>
  <si>
    <t>SKU-70099</t>
  </si>
  <si>
    <t>Scope 3 – Category 12: End-of-Life Treatment of Sold Products</t>
  </si>
  <si>
    <t>Product SKU</t>
  </si>
  <si>
    <t>Mass of Products Sold (tonne)</t>
  </si>
  <si>
    <t>Material Composition</t>
  </si>
  <si>
    <t>% to Landfill</t>
  </si>
  <si>
    <t>% to Incineration</t>
  </si>
  <si>
    <t>% to Recycling</t>
  </si>
  <si>
    <t>% to Composting</t>
  </si>
  <si>
    <t>% to Other</t>
  </si>
  <si>
    <t>Landfill EF (kg CO₂e/tonne)</t>
  </si>
  <si>
    <t>Incineration EF (kg CO₂e/tonne)</t>
  </si>
  <si>
    <t>Recycling EF (kg CO₂e/tonne)</t>
  </si>
  <si>
    <t>Composting EF (kg CO₂e/tonne)</t>
  </si>
  <si>
    <t>Landfill Emissions (tCO₂e)</t>
  </si>
  <si>
    <t>Incineration Emissions (tCO₂e)</t>
  </si>
  <si>
    <t>Recycling Emissions (tCO₂e)</t>
  </si>
  <si>
    <t>Total EOL Emissions (tCO₂e)</t>
  </si>
  <si>
    <t>Home Appliance</t>
  </si>
  <si>
    <t>SKU-80000</t>
  </si>
  <si>
    <t>Mixed Organic</t>
  </si>
  <si>
    <t>Office Furniture</t>
  </si>
  <si>
    <t>SKU-80001</t>
  </si>
  <si>
    <t>Metal</t>
  </si>
  <si>
    <t>Metal Can</t>
  </si>
  <si>
    <t>SKU-80002</t>
  </si>
  <si>
    <t>SKU-80003</t>
  </si>
  <si>
    <t>Ceramic</t>
  </si>
  <si>
    <t>Plastic Bottle</t>
  </si>
  <si>
    <t>SKU-80004</t>
  </si>
  <si>
    <t>Textile</t>
  </si>
  <si>
    <t>Glass Container</t>
  </si>
  <si>
    <t>SKU-80005</t>
  </si>
  <si>
    <t>Plastic</t>
  </si>
  <si>
    <t>Garment</t>
  </si>
  <si>
    <t>SKU-80006</t>
  </si>
  <si>
    <t>Industrial Equipment</t>
  </si>
  <si>
    <t>SKU-80007</t>
  </si>
  <si>
    <t>SKU-80008</t>
  </si>
  <si>
    <t>SKU-80009</t>
  </si>
  <si>
    <t>SKU-80010</t>
  </si>
  <si>
    <t>SKU-80011</t>
  </si>
  <si>
    <t>SKU-80012</t>
  </si>
  <si>
    <t>SKU-80013</t>
  </si>
  <si>
    <t>Automotive Part</t>
  </si>
  <si>
    <t>SKU-80014</t>
  </si>
  <si>
    <t>Paper/Cardboard</t>
  </si>
  <si>
    <t>SKU-80015</t>
  </si>
  <si>
    <t>SKU-80016</t>
  </si>
  <si>
    <t>Composite</t>
  </si>
  <si>
    <t>SKU-80017</t>
  </si>
  <si>
    <t>SKU-80018</t>
  </si>
  <si>
    <t>SKU-80019</t>
  </si>
  <si>
    <t>SKU-80020</t>
  </si>
  <si>
    <t>SKU-80021</t>
  </si>
  <si>
    <t>SKU-80022</t>
  </si>
  <si>
    <t>SKU-80023</t>
  </si>
  <si>
    <t>SKU-80024</t>
  </si>
  <si>
    <t>SKU-80025</t>
  </si>
  <si>
    <t>SKU-80026</t>
  </si>
  <si>
    <t>SKU-80027</t>
  </si>
  <si>
    <t>SKU-80028</t>
  </si>
  <si>
    <t>SKU-80029</t>
  </si>
  <si>
    <t>SKU-80030</t>
  </si>
  <si>
    <t>SKU-80031</t>
  </si>
  <si>
    <t>SKU-80032</t>
  </si>
  <si>
    <t>SKU-80033</t>
  </si>
  <si>
    <t>SKU-80034</t>
  </si>
  <si>
    <t>SKU-80035</t>
  </si>
  <si>
    <t>SKU-80036</t>
  </si>
  <si>
    <t>SKU-80037</t>
  </si>
  <si>
    <t>SKU-80038</t>
  </si>
  <si>
    <t>SKU-80039</t>
  </si>
  <si>
    <t>SKU-80040</t>
  </si>
  <si>
    <t>SKU-80041</t>
  </si>
  <si>
    <t>SKU-80042</t>
  </si>
  <si>
    <t>SKU-80043</t>
  </si>
  <si>
    <t>SKU-80044</t>
  </si>
  <si>
    <t>SKU-80045</t>
  </si>
  <si>
    <t>SKU-80046</t>
  </si>
  <si>
    <t>SKU-80047</t>
  </si>
  <si>
    <t>SKU-80048</t>
  </si>
  <si>
    <t>SKU-80049</t>
  </si>
  <si>
    <t>SKU-80050</t>
  </si>
  <si>
    <t>SKU-80051</t>
  </si>
  <si>
    <t>SKU-80052</t>
  </si>
  <si>
    <t>SKU-80053</t>
  </si>
  <si>
    <t>Consumer Electronic</t>
  </si>
  <si>
    <t>SKU-80054</t>
  </si>
  <si>
    <t>SKU-80055</t>
  </si>
  <si>
    <t>SKU-80056</t>
  </si>
  <si>
    <t>SKU-80057</t>
  </si>
  <si>
    <t>SKU-80058</t>
  </si>
  <si>
    <t>SKU-80059</t>
  </si>
  <si>
    <t>SKU-80060</t>
  </si>
  <si>
    <t>SKU-80061</t>
  </si>
  <si>
    <t>SKU-80062</t>
  </si>
  <si>
    <t>SKU-80063</t>
  </si>
  <si>
    <t>SKU-80064</t>
  </si>
  <si>
    <t>SKU-80065</t>
  </si>
  <si>
    <t>SKU-80066</t>
  </si>
  <si>
    <t>SKU-80067</t>
  </si>
  <si>
    <t>SKU-80068</t>
  </si>
  <si>
    <t>SKU-80069</t>
  </si>
  <si>
    <t>SKU-80070</t>
  </si>
  <si>
    <t>SKU-80071</t>
  </si>
  <si>
    <t>SKU-80072</t>
  </si>
  <si>
    <t>SKU-80073</t>
  </si>
  <si>
    <t>SKU-80074</t>
  </si>
  <si>
    <t>SKU-80075</t>
  </si>
  <si>
    <t>SKU-80076</t>
  </si>
  <si>
    <t>SKU-80077</t>
  </si>
  <si>
    <t>SKU-80078</t>
  </si>
  <si>
    <t>SKU-80079</t>
  </si>
  <si>
    <t>SKU-80080</t>
  </si>
  <si>
    <t>SKU-80081</t>
  </si>
  <si>
    <t>SKU-80082</t>
  </si>
  <si>
    <t>SKU-80083</t>
  </si>
  <si>
    <t>SKU-80084</t>
  </si>
  <si>
    <t>SKU-80085</t>
  </si>
  <si>
    <t>SKU-80086</t>
  </si>
  <si>
    <t>SKU-80087</t>
  </si>
  <si>
    <t>SKU-80088</t>
  </si>
  <si>
    <t>SKU-80089</t>
  </si>
  <si>
    <t>SKU-80090</t>
  </si>
  <si>
    <t>SKU-80091</t>
  </si>
  <si>
    <t>SKU-80092</t>
  </si>
  <si>
    <t>SKU-80093</t>
  </si>
  <si>
    <t>SKU-80094</t>
  </si>
  <si>
    <t>SKU-80095</t>
  </si>
  <si>
    <t>SKU-80096</t>
  </si>
  <si>
    <t>SKU-80097</t>
  </si>
  <si>
    <t>SKU-80098</t>
  </si>
  <si>
    <t>SKU-80099</t>
  </si>
  <si>
    <t>Scope 3 – Category 13: Downstream Leased Assets</t>
  </si>
  <si>
    <t>Lessee Name</t>
  </si>
  <si>
    <t>Lessee Industry</t>
  </si>
  <si>
    <t>Lease Term (Years)</t>
  </si>
  <si>
    <t>Floor Area / Units Leased</t>
  </si>
  <si>
    <t>Electricity Emissions (tCO₂e)</t>
  </si>
  <si>
    <t>Annual Rental Income (USD)</t>
  </si>
  <si>
    <t>DL-90000</t>
  </si>
  <si>
    <t>Company S</t>
  </si>
  <si>
    <t>Average-data estimate</t>
  </si>
  <si>
    <t>DL-90001</t>
  </si>
  <si>
    <t>Commercial Office</t>
  </si>
  <si>
    <t>Company H</t>
  </si>
  <si>
    <t>DL-90002</t>
  </si>
  <si>
    <t>Logistics Hub</t>
  </si>
  <si>
    <t>Company Q</t>
  </si>
  <si>
    <t>Education</t>
  </si>
  <si>
    <t>Smart meter</t>
  </si>
  <si>
    <t>DL-90003</t>
  </si>
  <si>
    <t>Cold Storage Facility</t>
  </si>
  <si>
    <t>Company O</t>
  </si>
  <si>
    <t>DL-90004</t>
  </si>
  <si>
    <t>Company L</t>
  </si>
  <si>
    <t>Hospitality</t>
  </si>
  <si>
    <t>DL-90005</t>
  </si>
  <si>
    <t>Leased Vehicle Fleet</t>
  </si>
  <si>
    <t>Healthcare</t>
  </si>
  <si>
    <t>DL-90006</t>
  </si>
  <si>
    <t>Residential Block</t>
  </si>
  <si>
    <t>Company G</t>
  </si>
  <si>
    <t>Lessee-reported</t>
  </si>
  <si>
    <t>DL-90007</t>
  </si>
  <si>
    <t>Industrial Warehouse</t>
  </si>
  <si>
    <t>Company B</t>
  </si>
  <si>
    <t>Logistics</t>
  </si>
  <si>
    <t>DL-90008</t>
  </si>
  <si>
    <t>Retail Mall Unit</t>
  </si>
  <si>
    <t>Company R</t>
  </si>
  <si>
    <t>FMCG</t>
  </si>
  <si>
    <t>DL-90009</t>
  </si>
  <si>
    <t>DL-90010</t>
  </si>
  <si>
    <t>Co-working Space</t>
  </si>
  <si>
    <t>DL-90011</t>
  </si>
  <si>
    <t>Company I</t>
  </si>
  <si>
    <t>Technology</t>
  </si>
  <si>
    <t>DL-90012</t>
  </si>
  <si>
    <t>Company M</t>
  </si>
  <si>
    <t>DL-90013</t>
  </si>
  <si>
    <t>Company T</t>
  </si>
  <si>
    <t>DL-90014</t>
  </si>
  <si>
    <t>DL-90015</t>
  </si>
  <si>
    <t>Data Centre Space</t>
  </si>
  <si>
    <t>DL-90016</t>
  </si>
  <si>
    <t>DL-90017</t>
  </si>
  <si>
    <t>Company E</t>
  </si>
  <si>
    <t>Financial Services</t>
  </si>
  <si>
    <t>DL-90018</t>
  </si>
  <si>
    <t>DL-90019</t>
  </si>
  <si>
    <t>Retail</t>
  </si>
  <si>
    <t>DL-90020</t>
  </si>
  <si>
    <t>Company F</t>
  </si>
  <si>
    <t>DL-90021</t>
  </si>
  <si>
    <t>DL-90022</t>
  </si>
  <si>
    <t>Company J</t>
  </si>
  <si>
    <t>DL-90023</t>
  </si>
  <si>
    <t>DL-90024</t>
  </si>
  <si>
    <t>Company P</t>
  </si>
  <si>
    <t>DL-90025</t>
  </si>
  <si>
    <t>Company K</t>
  </si>
  <si>
    <t>DL-90026</t>
  </si>
  <si>
    <t>DL-90027</t>
  </si>
  <si>
    <t>DL-90028</t>
  </si>
  <si>
    <t>DL-90029</t>
  </si>
  <si>
    <t>DL-90030</t>
  </si>
  <si>
    <t>DL-90031</t>
  </si>
  <si>
    <t>DL-90032</t>
  </si>
  <si>
    <t>DL-90033</t>
  </si>
  <si>
    <t>Company A</t>
  </si>
  <si>
    <t>DL-90034</t>
  </si>
  <si>
    <t>DL-90035</t>
  </si>
  <si>
    <t>Company D</t>
  </si>
  <si>
    <t>DL-90036</t>
  </si>
  <si>
    <t>Company C</t>
  </si>
  <si>
    <t>DL-90037</t>
  </si>
  <si>
    <t>DL-90038</t>
  </si>
  <si>
    <t>DL-90039</t>
  </si>
  <si>
    <t>DL-90040</t>
  </si>
  <si>
    <t>DL-90041</t>
  </si>
  <si>
    <t>DL-90042</t>
  </si>
  <si>
    <t>DL-90043</t>
  </si>
  <si>
    <t>DL-90044</t>
  </si>
  <si>
    <t>DL-90045</t>
  </si>
  <si>
    <t>DL-90046</t>
  </si>
  <si>
    <t>DL-90047</t>
  </si>
  <si>
    <t>DL-90048</t>
  </si>
  <si>
    <t>DL-90049</t>
  </si>
  <si>
    <t>DL-90050</t>
  </si>
  <si>
    <t>DL-90051</t>
  </si>
  <si>
    <t>DL-90052</t>
  </si>
  <si>
    <t>DL-90053</t>
  </si>
  <si>
    <t>DL-90054</t>
  </si>
  <si>
    <t>DL-90055</t>
  </si>
  <si>
    <t>DL-90056</t>
  </si>
  <si>
    <t>DL-90057</t>
  </si>
  <si>
    <t>DL-90058</t>
  </si>
  <si>
    <t>DL-90059</t>
  </si>
  <si>
    <t>DL-90060</t>
  </si>
  <si>
    <t>DL-90061</t>
  </si>
  <si>
    <t>DL-90062</t>
  </si>
  <si>
    <t>DL-90063</t>
  </si>
  <si>
    <t>DL-90064</t>
  </si>
  <si>
    <t>DL-90065</t>
  </si>
  <si>
    <t>DL-90066</t>
  </si>
  <si>
    <t>DL-90067</t>
  </si>
  <si>
    <t>DL-90068</t>
  </si>
  <si>
    <t>DL-90069</t>
  </si>
  <si>
    <t>DL-90070</t>
  </si>
  <si>
    <t>DL-90071</t>
  </si>
  <si>
    <t>DL-90072</t>
  </si>
  <si>
    <t>DL-90073</t>
  </si>
  <si>
    <t>DL-90074</t>
  </si>
  <si>
    <t>DL-90075</t>
  </si>
  <si>
    <t>DL-90076</t>
  </si>
  <si>
    <t>DL-90077</t>
  </si>
  <si>
    <t>DL-90078</t>
  </si>
  <si>
    <t>DL-90079</t>
  </si>
  <si>
    <t>DL-90080</t>
  </si>
  <si>
    <t>DL-90081</t>
  </si>
  <si>
    <t>DL-90082</t>
  </si>
  <si>
    <t>DL-90083</t>
  </si>
  <si>
    <t>DL-90084</t>
  </si>
  <si>
    <t>DL-90085</t>
  </si>
  <si>
    <t>DL-90086</t>
  </si>
  <si>
    <t>DL-90087</t>
  </si>
  <si>
    <t>Company N</t>
  </si>
  <si>
    <t>DL-90088</t>
  </si>
  <si>
    <t>DL-90089</t>
  </si>
  <si>
    <t>DL-90090</t>
  </si>
  <si>
    <t>DL-90091</t>
  </si>
  <si>
    <t>DL-90092</t>
  </si>
  <si>
    <t>DL-90093</t>
  </si>
  <si>
    <t>DL-90094</t>
  </si>
  <si>
    <t>DL-90095</t>
  </si>
  <si>
    <t>DL-90096</t>
  </si>
  <si>
    <t>DL-90097</t>
  </si>
  <si>
    <t>DL-90098</t>
  </si>
  <si>
    <t>DL-90099</t>
  </si>
  <si>
    <t>Scope 3 – Category 14: Franchises</t>
  </si>
  <si>
    <t>Franchise Location ID</t>
  </si>
  <si>
    <t>Franchise Brand</t>
  </si>
  <si>
    <t>City</t>
  </si>
  <si>
    <t>Outlet Type</t>
  </si>
  <si>
    <t>Floor Area (m²)</t>
  </si>
  <si>
    <t>Number of Employees</t>
  </si>
  <si>
    <t>Electricity Consumed (kWh)</t>
  </si>
  <si>
    <t>Natural Gas Consumed (GJ)</t>
  </si>
  <si>
    <t>Refrigerant Leakage (kg CO₂e)</t>
  </si>
  <si>
    <t>Gas EF (kg CO₂e/GJ)</t>
  </si>
  <si>
    <t>Scope 1 – Fuel Emissions (tCO₂e)</t>
  </si>
  <si>
    <t>Scope 1 – Refrigerant (tCO₂e)</t>
  </si>
  <si>
    <t>Scope 2 – Electricity Emissions (tCO₂e)</t>
  </si>
  <si>
    <t>Total Franchise Emissions (tCO₂e)</t>
  </si>
  <si>
    <t>Reporting Quality</t>
  </si>
  <si>
    <t>FR-40000</t>
  </si>
  <si>
    <t>BrandX Quick Service</t>
  </si>
  <si>
    <t>Dhaka</t>
  </si>
  <si>
    <t>Hotel Franchisee</t>
  </si>
  <si>
    <t>Franchisee reported</t>
  </si>
  <si>
    <t>FR-40001</t>
  </si>
  <si>
    <t>BrandX Drive-Through</t>
  </si>
  <si>
    <t>Cairo</t>
  </si>
  <si>
    <t>FR-40002</t>
  </si>
  <si>
    <t>BrandX Express</t>
  </si>
  <si>
    <t>Lagos</t>
  </si>
  <si>
    <t>High Street Restaurant</t>
  </si>
  <si>
    <t>FR-40003</t>
  </si>
  <si>
    <t>BrandX Premium</t>
  </si>
  <si>
    <t>Lima</t>
  </si>
  <si>
    <t>Convenience Store</t>
  </si>
  <si>
    <t>FR-40004</t>
  </si>
  <si>
    <t>Karachi</t>
  </si>
  <si>
    <t>Airport Lounge</t>
  </si>
  <si>
    <t>Estimated from benchmarks</t>
  </si>
  <si>
    <t>FR-40005</t>
  </si>
  <si>
    <t>Bangkok</t>
  </si>
  <si>
    <t>Petrol Station</t>
  </si>
  <si>
    <t>FR-40006</t>
  </si>
  <si>
    <t>Ho Chi Minh City</t>
  </si>
  <si>
    <t>Food Court Kiosk</t>
  </si>
  <si>
    <t>FR-40007</t>
  </si>
  <si>
    <t>Jakarta</t>
  </si>
  <si>
    <t>FR-40008</t>
  </si>
  <si>
    <t>Hospital Cafeteria</t>
  </si>
  <si>
    <t>FR-40009</t>
  </si>
  <si>
    <t>FR-40010</t>
  </si>
  <si>
    <t>Drive-Through</t>
  </si>
  <si>
    <t>FR-40011</t>
  </si>
  <si>
    <t>FR-40012</t>
  </si>
  <si>
    <t>BrandX Café</t>
  </si>
  <si>
    <t>Bogotá</t>
  </si>
  <si>
    <t>FR-40013</t>
  </si>
  <si>
    <t>FR-40014</t>
  </si>
  <si>
    <t>Manila</t>
  </si>
  <si>
    <t>FR-40015</t>
  </si>
  <si>
    <t>FR-40016</t>
  </si>
  <si>
    <t>FR-40017</t>
  </si>
  <si>
    <t>FR-40018</t>
  </si>
  <si>
    <t>FR-40019</t>
  </si>
  <si>
    <t>FR-40020</t>
  </si>
  <si>
    <t>FR-40021</t>
  </si>
  <si>
    <t>FR-40022</t>
  </si>
  <si>
    <t>FR-40023</t>
  </si>
  <si>
    <t>FR-40024</t>
  </si>
  <si>
    <t>FR-40025</t>
  </si>
  <si>
    <t>FR-40026</t>
  </si>
  <si>
    <t>FR-40027</t>
  </si>
  <si>
    <t>FR-40028</t>
  </si>
  <si>
    <t>FR-40029</t>
  </si>
  <si>
    <t>FR-40030</t>
  </si>
  <si>
    <t>FR-40031</t>
  </si>
  <si>
    <t>FR-40032</t>
  </si>
  <si>
    <t>FR-40033</t>
  </si>
  <si>
    <t>FR-40034</t>
  </si>
  <si>
    <t>FR-40035</t>
  </si>
  <si>
    <t>FR-40036</t>
  </si>
  <si>
    <t>FR-40037</t>
  </si>
  <si>
    <t>FR-40038</t>
  </si>
  <si>
    <t>FR-40039</t>
  </si>
  <si>
    <t>FR-40040</t>
  </si>
  <si>
    <t>FR-40041</t>
  </si>
  <si>
    <t>FR-40042</t>
  </si>
  <si>
    <t>FR-40043</t>
  </si>
  <si>
    <t>FR-40044</t>
  </si>
  <si>
    <t>FR-40045</t>
  </si>
  <si>
    <t>FR-40046</t>
  </si>
  <si>
    <t>FR-40047</t>
  </si>
  <si>
    <t>FR-40048</t>
  </si>
  <si>
    <t>FR-40049</t>
  </si>
  <si>
    <t>FR-40050</t>
  </si>
  <si>
    <t>FR-40051</t>
  </si>
  <si>
    <t>FR-40052</t>
  </si>
  <si>
    <t>FR-40053</t>
  </si>
  <si>
    <t>FR-40054</t>
  </si>
  <si>
    <t>FR-40055</t>
  </si>
  <si>
    <t>FR-40056</t>
  </si>
  <si>
    <t>FR-40057</t>
  </si>
  <si>
    <t>FR-40058</t>
  </si>
  <si>
    <t>FR-40059</t>
  </si>
  <si>
    <t>FR-40060</t>
  </si>
  <si>
    <t>FR-40061</t>
  </si>
  <si>
    <t>FR-40062</t>
  </si>
  <si>
    <t>FR-40063</t>
  </si>
  <si>
    <t>FR-40064</t>
  </si>
  <si>
    <t>FR-40065</t>
  </si>
  <si>
    <t>FR-40066</t>
  </si>
  <si>
    <t>FR-40067</t>
  </si>
  <si>
    <t>FR-40068</t>
  </si>
  <si>
    <t>FR-40069</t>
  </si>
  <si>
    <t>FR-40070</t>
  </si>
  <si>
    <t>FR-40071</t>
  </si>
  <si>
    <t>FR-40072</t>
  </si>
  <si>
    <t>FR-40073</t>
  </si>
  <si>
    <t>FR-40074</t>
  </si>
  <si>
    <t>FR-40075</t>
  </si>
  <si>
    <t>FR-40076</t>
  </si>
  <si>
    <t>FR-40077</t>
  </si>
  <si>
    <t>FR-40078</t>
  </si>
  <si>
    <t>FR-40079</t>
  </si>
  <si>
    <t>FR-40080</t>
  </si>
  <si>
    <t>FR-40081</t>
  </si>
  <si>
    <t>FR-40082</t>
  </si>
  <si>
    <t>FR-40083</t>
  </si>
  <si>
    <t>FR-40084</t>
  </si>
  <si>
    <t>FR-40085</t>
  </si>
  <si>
    <t>FR-40086</t>
  </si>
  <si>
    <t>FR-40087</t>
  </si>
  <si>
    <t>FR-40088</t>
  </si>
  <si>
    <t>FR-40089</t>
  </si>
  <si>
    <t>FR-40090</t>
  </si>
  <si>
    <t>FR-40091</t>
  </si>
  <si>
    <t>FR-40092</t>
  </si>
  <si>
    <t>FR-40093</t>
  </si>
  <si>
    <t>FR-40094</t>
  </si>
  <si>
    <t>FR-40095</t>
  </si>
  <si>
    <t>FR-40096</t>
  </si>
  <si>
    <t>FR-40097</t>
  </si>
  <si>
    <t>FR-40098</t>
  </si>
  <si>
    <t>FR-40099</t>
  </si>
  <si>
    <t>Scope 3 – Category 15: Investments</t>
  </si>
  <si>
    <t>Investee / Borrower</t>
  </si>
  <si>
    <t>Asset Class</t>
  </si>
  <si>
    <t>Sector</t>
  </si>
  <si>
    <t>Investment Type</t>
  </si>
  <si>
    <t>Outstanding Amount (USD mn)</t>
  </si>
  <si>
    <t>Investee EVIC (USD mn)</t>
  </si>
  <si>
    <t>Attribution Factor (%)</t>
  </si>
  <si>
    <t>Investee Scope 1 (tCO₂e)</t>
  </si>
  <si>
    <t>Investee Scope 2 (tCO₂e)</t>
  </si>
  <si>
    <t>Investee Scope 1+2 (tCO₂e)</t>
  </si>
  <si>
    <t>Attributed Emissions (tCO₂e)</t>
  </si>
  <si>
    <t>Investee Revenue (USD mn)</t>
  </si>
  <si>
    <t>Emission Intensity (tCO₂e/USD mn revenue)</t>
  </si>
  <si>
    <t>PCAF Data Quality Score (1–5)</t>
  </si>
  <si>
    <t>InvestCo P Ltd</t>
  </si>
  <si>
    <t>SME Loan</t>
  </si>
  <si>
    <t>Oil &amp; Gas</t>
  </si>
  <si>
    <t>Debt</t>
  </si>
  <si>
    <t>Refinitiv</t>
  </si>
  <si>
    <t>Estimated via sector avg</t>
  </si>
  <si>
    <t>InvestCo K Ltd</t>
  </si>
  <si>
    <t>Infrastructure</t>
  </si>
  <si>
    <t>Blended Finance</t>
  </si>
  <si>
    <t>Self-reported</t>
  </si>
  <si>
    <t>InvestCo J Ltd</t>
  </si>
  <si>
    <t>Aviation</t>
  </si>
  <si>
    <t>CDP disclosure</t>
  </si>
  <si>
    <t>InvestCo Y Ltd</t>
  </si>
  <si>
    <t>Listed Equity</t>
  </si>
  <si>
    <t>Equity</t>
  </si>
  <si>
    <t>InvestCo B Ltd</t>
  </si>
  <si>
    <t>Annual report</t>
  </si>
  <si>
    <t>InvestCo Q Ltd</t>
  </si>
  <si>
    <t>Project Finance</t>
  </si>
  <si>
    <t>Audited Scope data</t>
  </si>
  <si>
    <t>InvestCo M Ltd</t>
  </si>
  <si>
    <t>Real Estate</t>
  </si>
  <si>
    <t>InvestCo W Ltd</t>
  </si>
  <si>
    <t>Unlisted Equity</t>
  </si>
  <si>
    <t>Cement</t>
  </si>
  <si>
    <t>InvestCo F Ltd</t>
  </si>
  <si>
    <t>Mortgage</t>
  </si>
  <si>
    <t>Bloomberg ESG</t>
  </si>
  <si>
    <t>InvestCo R Ltd</t>
  </si>
  <si>
    <t>Mining</t>
  </si>
  <si>
    <t>InvestCo G Ltd</t>
  </si>
  <si>
    <t>InvestCo H Ltd</t>
  </si>
  <si>
    <t>Sovereign Bond</t>
  </si>
  <si>
    <t>InvestCo X Ltd</t>
  </si>
  <si>
    <t>InvestCo E Ltd</t>
  </si>
  <si>
    <t>Steel</t>
  </si>
  <si>
    <t>InvestCo D Ltd</t>
  </si>
  <si>
    <t>InvestCo O Ltd</t>
  </si>
  <si>
    <t>Corporate Bond</t>
  </si>
  <si>
    <t>InvestCo T Ltd</t>
  </si>
  <si>
    <t>InvestCo L Ltd</t>
  </si>
  <si>
    <t>Pharmaceuticals</t>
  </si>
  <si>
    <t>Transport</t>
  </si>
  <si>
    <t>InvestCo A Ltd</t>
  </si>
  <si>
    <t>InvestCo N Ltd</t>
  </si>
  <si>
    <t>InvestCo V Ltd</t>
  </si>
  <si>
    <t>InvestCo S Ltd</t>
  </si>
  <si>
    <t>InvestCo C Ltd</t>
  </si>
  <si>
    <t>InvestCo I Ltd</t>
  </si>
  <si>
    <t>GHG Protocol – Scope 3 Categories: Definitions &amp; Calculation Methodologies</t>
  </si>
  <si>
    <t>Source: GHG Protocol Corporate Value Chain (Scope 3) Accounting and Reporting Standard (2011 + 2023 Tech. Update) | PCAF Global GHG Accounting and Reporting Standard (2022)</t>
  </si>
  <si>
    <t>Cat #</t>
  </si>
  <si>
    <t>Category Name</t>
  </si>
  <si>
    <t>Upstream / Downstream</t>
  </si>
  <si>
    <t>Relevance</t>
  </si>
  <si>
    <t>Definition (GHG Protocol)</t>
  </si>
  <si>
    <t>Calculation Methodology (GHG Protocol)</t>
  </si>
  <si>
    <t>Key Emission Factors</t>
  </si>
  <si>
    <t>Common Data Sources</t>
  </si>
  <si>
    <t>Linked Dataset Tab</t>
  </si>
  <si>
    <t>Purchased Goods &amp; Services</t>
  </si>
  <si>
    <t>Upstream</t>
  </si>
  <si>
    <t>Often material for product companies</t>
  </si>
  <si>
    <t>Scope 3, Category 1 covers emissions from the extraction, production, and transportation of goods and services purchased or acquired by the reporting company in the reporting year. This includes raw materials, components, packaging, and purchased services (e.g., professional services, IT services). Emissions occur upstream of the company's operations.</t>
  </si>
  <si>
    <t>Calculation Methods (GHG Protocol Scope 3 Standard, Chapter 5):
1. Spend-based: Activity data (spend, USD) × Supplier- or industry-average spend-based emission factor (kg CO₂e/USD).
2. Average-data: Mass/volume of goods purchased × average emission factor per unit mass/volume (kg CO₂e/kg or kg CO₂e/unit).
3. Supplier-specific: Use primary data (emissions disclosed by suppliers).
4. Hybrid: Combination of supplier-specific and average-data methods.
Emission factor sources: Ecoinvent, US EPA USEEIO, EXIOBASE, supplier EPDs.</t>
  </si>
  <si>
    <t>Ecoinvent, USEEIO, EXIOBASE, Supplier EPDs</t>
  </si>
  <si>
    <t>Supplier invoices, procurement data, EPDs</t>
  </si>
  <si>
    <t>Cat 1 – Purchased Goods &amp; Se…</t>
  </si>
  <si>
    <t>Capital Goods</t>
  </si>
  <si>
    <t>Material for capex-intensive industries</t>
  </si>
  <si>
    <t>Scope 3, Category 2 covers emissions from the extraction, production, and transportation of capital goods purchased or acquired by the reporting company in the reporting year. Capital goods are final products with extended life that are used by the company to produce a product, provide a service, or sell, store, and deliver merchandise (e.g., machinery, equipment, buildings, vehicles).</t>
  </si>
  <si>
    <t>Calculation Methods (GHG Protocol Scope 3 Standard, Chapter 5):
1. Spend-based: Capital expenditure (USD) × spend-based emission factor (kg CO₂e/USD) for the relevant capital goods sector.
2. Average-data: Mass or physical units × average emission factor (kg CO₂e/kg or per unit).
3. Supplier-specific: Actual lifecycle emissions disclosed by equipment supplier or obtained from EPD.
Note: Do NOT depreciate capital goods emissions; count full upstream emissions in the year of acquisition.</t>
  </si>
  <si>
    <t>Ecoinvent, Supplier EPDs, USEEIO</t>
  </si>
  <si>
    <t>Capex ledger, asset register, supplier EPDs</t>
  </si>
  <si>
    <t>Cat 2 – Capital Goods…</t>
  </si>
  <si>
    <t>Fuel- and Energy-Related Activities</t>
  </si>
  <si>
    <t>Material for energy-intensive operations</t>
  </si>
  <si>
    <t>Scope 3, Category 3 covers emissions that are not included in Scope 1 or Scope 2 but result from the extraction, production, and transportation of fuels and energy consumed by the reporting company. This includes: (a) upstream emissions from extraction and production of purchased fuels; (b) upstream emissions from extraction and production of purchased electricity, heat, steam, and cooling; (c) transmission and distribution (T&amp;D) losses; and (d) emissions from generation of purchased electricity that is sold to end users (relevant only for electric utilities).</t>
  </si>
  <si>
    <t>Calculation Methods (GHG Protocol Scope 3 Standard, Chapter 5):
1. Upstream fuel emissions: Fuel consumed (GJ or L) × upstream emission factor (kg CO₂e/GJ).
2. Upstream electricity emissions: Electricity consumed (MWh) × upstream emission factor (kg CO₂e/MWh, covering extraction and processing of primary fuel used to generate electricity).
3. T&amp;D losses: Electricity purchased (MWh) × T&amp;D loss factor × grid emission factor (kg CO₂e/MWh).
Sources: IEA, IPCC, national energy statistics, utility disclosures.</t>
  </si>
  <si>
    <t>IEA, IPCC AR6, National energy statistics</t>
  </si>
  <si>
    <t>Utility bills, meter data, energy audits</t>
  </si>
  <si>
    <t>Cat 3 – Fuel- and Energy-Rel…</t>
  </si>
  <si>
    <t>Upstream Transportation &amp; Distribution</t>
  </si>
  <si>
    <t>Relevant for companies with global supply chains</t>
  </si>
  <si>
    <t>Scope 3, Category 4 covers emissions from transportation and distribution of products (including imported goods) from tier-1 suppliers to the reporting company's operations, between the company's own facilities, and to intermediaries (e.g., distributors, retailers) but NOT to end consumers (which falls under Category 9). This includes all modes: road, rail, air, and maritime transport.</t>
  </si>
  <si>
    <t>Calculation Methods (GHG Protocol Scope 3 Standard, Chapter 5):
1. Distance-based: Mass transported (tonne) × distance (km) × emission factor (kg CO₂e/tonne-km) for transport mode.
2. Spend-based: Logistics spend (USD) × spend-based emission factor (kg CO₂e/USD).
3. Fuel-based: Fuel consumed by transport vehicle (L) × fuel emission factor (kg CO₂e/L).
Emission factors by mode (GLEC Framework / IPCC): Road ~0.062–0.200, Rail ~0.022–0.028, Sea ~0.010–0.040, Air ~0.600–2.100 kg CO₂e/tonne-km.</t>
  </si>
  <si>
    <t>GLEC Framework, IPCC, ICAO</t>
  </si>
  <si>
    <t>Logistics invoices, BOL, carrier data</t>
  </si>
  <si>
    <t>Cat 4 – Upstream Transportat…</t>
  </si>
  <si>
    <t>Waste Generated in Operations</t>
  </si>
  <si>
    <t>Relevant for manufacturing &amp; chemical industries</t>
  </si>
  <si>
    <t>Scope 3, Category 5 covers emissions from third-party disposal and treatment of solid and liquid waste that is generated in the reporting company's operations. This includes waste sent to landfill, incineration, composting, anaerobic digestion, wastewater treatment, and recycling. Emissions occur at the waste treatment facility, not at the company's site.</t>
  </si>
  <si>
    <t>Calculation Methods (GHG Protocol Scope 3 Standard, Chapter 5):
1. Waste-type-specific: Mass of waste (tonne) × waste-type-specific emission factor per treatment method (kg CO₂e/tonne).
   Landfill: ~0.45–1.30 kg CO₂e/kg (methane from decomposition).
   Incineration: ~0.50–2.50 kg CO₂e/kg (varies by waste composition).
   Composting: ~0.08–0.48 kg CO₂e/kg.
   Recycling: ~0.01–0.15 kg CO₂e/kg.
2. Average-data: Total waste (tonne) × average emission factor across typical waste mix.
Sources: IPCC Waste Module, US EPA WARM Model, national waste statistics.</t>
  </si>
  <si>
    <t>IPCC Waste, US EPA WARM, EU Waste Stats</t>
  </si>
  <si>
    <t>Waste manifests, contractor invoices</t>
  </si>
  <si>
    <t>Cat 5 – Waste Generated in O…</t>
  </si>
  <si>
    <t>Business Travel</t>
  </si>
  <si>
    <t>Relevant for professional services, airlines</t>
  </si>
  <si>
    <t>Scope 3, Category 6 covers emissions from the transportation of employees for business-related activities during the reporting year. This includes air travel, rail, bus, taxi/rideshare, rental cars, and personal vehicle use for business purposes. Hotel stays are also included under this category.</t>
  </si>
  <si>
    <t>Calculation Methods (GHG Protocol Scope 3 Standard, Chapter 5):
1. Distance-based (air): Passenger-km × emission factor (kg CO₂e/pkm) by class (economy, business, first) and haul length.
   Short-haul economy: ~0.255 kg CO₂e/pkm (with radiative forcing: ×2).
   Long-haul economy: ~0.195 kg CO₂e/pkm.
   Business class: ~2–3× economy factor.
2. Spend-based: Travel spend (USD) × spend-based emission factor.
3. Hotel nights: Number of nights × hotel emission factor (kg CO₂e/night).
Sources: DEFRA/BEIS UK GHG Conversion Factors, ICAO Carbon Estimator, IATA.</t>
  </si>
  <si>
    <t>DEFRA/BEIS UK Conv. Factors, ICAO CORSIA</t>
  </si>
  <si>
    <t>Travel booking system, expense reports</t>
  </si>
  <si>
    <t>Cat 6 – Business Travel…</t>
  </si>
  <si>
    <t>Employee Commuting</t>
  </si>
  <si>
    <t>Material for large-headcount companies</t>
  </si>
  <si>
    <t>Scope 3, Category 7 covers emissions from the transportation of employees between their homes and their worksites during the reporting year. This includes all modes of transportation (car, motorcycle, bus, rail, etc.) and remote working (work-from-home) arrangements that shift energy consumption to employees' residences.</t>
  </si>
  <si>
    <t>Calculation Methods (GHG Protocol Scope 3 Standard, Chapter 5):
1. Distance-based: Employee-km × mode-specific emission factor (kg CO₂e/pkm).
   Private car: ~0.170–0.210 kg CO₂e/pkm (petrol).
   Electric vehicle: ~0.050–0.090 kg CO₂e/pkm (grid-dependent).
   Public bus: ~0.089–0.105 kg CO₂e/pkm.
   Metro/rail: ~0.041 kg CO₂e/pkm.
2. Survey-based: Collect data on commute mode share, distance, and frequency from employee surveys, then apply distance-based method.
3. Spend-based: Employee transport subsidy spend × emission factor.
Remote-work emissions: Estimate home energy use attributable to work activity.</t>
  </si>
  <si>
    <t>DEFRA/BEIS, National transport stats</t>
  </si>
  <si>
    <t>Employee surveys, HR records, payroll</t>
  </si>
  <si>
    <t>Cat 7 – Employee Commuting…</t>
  </si>
  <si>
    <t>Upstream Leased Assets</t>
  </si>
  <si>
    <t>Relevant for office-based companies (equity approach)</t>
  </si>
  <si>
    <t>Scope 3, Category 8 covers emissions from the operation of assets leased by the reporting company (lessee) that are not already included in Scope 1 or Scope 2. This applies when the company uses the equity-share or financial control approach for Scope 1 and 2 reporting. Typical assets: leased office space, leased vehicles, leased equipment where the lessor controls the asset.</t>
  </si>
  <si>
    <t>Calculation Methods (GHG Protocol Scope 3 Standard, Chapter 5):
1. Asset-specific: Actual energy consumption of the leased asset × appropriate emission factor (for electricity: grid EF; for fuels: combustion EF).
2. Lessor-reported: Emissions as disclosed by the lessor.
3. Average-data: Floor area of leased space (m²) × average energy intensity (kWh/m²/yr) × emission factor; or vehicle-km × vehicle emission factor.
Note: If operational control approach is used for Scope 1/2, leased asset emissions are typically already in Scope 1/2 and NOT in Category 8.</t>
  </si>
  <si>
    <t>National grid EF, IPCC combustion EFs</t>
  </si>
  <si>
    <t>Lessor energy statements, meter data</t>
  </si>
  <si>
    <t>Cat 8 – Upstream Leased Asse…</t>
  </si>
  <si>
    <t>Downstream Transportation &amp; Distribution</t>
  </si>
  <si>
    <t>Downstream</t>
  </si>
  <si>
    <t>Relevant for product manufacturers &amp; retailers</t>
  </si>
  <si>
    <t>Scope 3, Category 9 covers emissions from transportation and distribution of products sold by the reporting company in the reporting year, from the point of sale to the end consumer. This includes transport by third-party carriers and distributors, retail storage, and last-mile delivery. It differs from Category 4 in that it covers outbound logistics beyond the point of sale.</t>
  </si>
  <si>
    <t>Calculation Methods (GHG Protocol Scope 3 Standard, Chapter 5):
1. Distance-based: Mass of product sold (tonne) × transport distance (km) × mode emission factor (kg CO₂e/tonne-km).
2. Spend-based: Outbound logistics spend (USD) × spend-based EF.
3. Fuel-based: Fuel consumed by outbound vehicles × fuel EF (kg CO₂e/L).
Also includes energy used in intermediate storage/warehousing:
   Warehouse area (m²) × energy intensity × grid EF.
Mode emission factors (GLEC/IPCC): Road ~0.100, Rail ~0.028, Air ~0.800–2.000, Sea ~0.012 kg CO₂e/tonne-km.</t>
  </si>
  <si>
    <t>GLEC Framework, IPCC Transport</t>
  </si>
  <si>
    <t>Outbound logistics invoices, WMS data</t>
  </si>
  <si>
    <t>Cat 9 – Downstream Transport…</t>
  </si>
  <si>
    <t>Processing of Sold Products</t>
  </si>
  <si>
    <t>Relevant only for manufacturers of intermediate goods</t>
  </si>
  <si>
    <t>Scope 3, Category 10 covers emissions from the processing of sold intermediate products by downstream companies (customers). It is relevant only for intermediate products that require further processing before end use. For example, a chemical company that sells a precursor chemical that must be processed by a customer before being incorporated into a final product.</t>
  </si>
  <si>
    <t>Calculation Methods (GHG Protocol Scope 3 Standard, Chapter 5):
1. Site-specific: Collect actual processing emission data from customers.
2. Average-data: Mass of intermediate product sold (tonne) × average processing emission factor for the product type (kg CO₂e/tonne).
   Example: Emissions per tonne of steel processed, per tonne of resin    injection-moulded, per tonne of chemical reacted.
3. Process engineering: Use process engineering models to estimate energy    and material inputs in downstream processing and apply emission factors.
Applicability: Only if the company sells intermediate goods, not final products.</t>
  </si>
  <si>
    <t>Ecoinvent, Process engineering databases</t>
  </si>
  <si>
    <t>Customer process data, industry benchmarks</t>
  </si>
  <si>
    <t>Cat 10 – Processing of Sold P…</t>
  </si>
  <si>
    <t>Use of Sold Products</t>
  </si>
  <si>
    <t>Often the largest category for product OEMs</t>
  </si>
  <si>
    <t>Scope 3, Category 11 covers emissions from the use of goods and services sold by the reporting company. This is often the most material Scope 3 category for manufacturers of energy-using products (e.g., vehicles, appliances, electronics, fuel). Includes: direct use-phase emissions (combustion in sold engines, electricity from sold generators) and indirect use-phase emissions (electricity consumed by sold appliances).</t>
  </si>
  <si>
    <t>Calculation Methods (GHG Protocol Scope 3 Standard, Chapter 5):
1. Direct use-phase: Units sold × lifetime fuel/energy consumption per unit × emission factor (kg CO₂e/L or /MWh).
2. Indirect use-phase: Units sold × annual electricity consumption (kWh/yr) × product lifetime (yr) × average grid emission factor.
3. Sold fuel: Volume of fuel sold (L) × combustion emission factor (kg CO₂e/L) — applicable to oil/gas companies and fuel retailers.
Key inputs: Product lifetime, usage frequency, product energy efficiency rating, grid emission factor projections. Sources: DEFRA, IEA, product specs.</t>
  </si>
  <si>
    <t>IEA grid EF projections, DEFRA</t>
  </si>
  <si>
    <t>Product energy specs, sales records</t>
  </si>
  <si>
    <t>Cat 11 – Use of Sold Products…</t>
  </si>
  <si>
    <t>End-of-Life Treatment of Sold Products</t>
  </si>
  <si>
    <t>Relevant for consumer goods, electronics</t>
  </si>
  <si>
    <t>Scope 3, Category 12 covers emissions from the waste disposal and treatment of products sold by the reporting company at the end of their life. This includes all waste treatment methods: landfill, incineration, recycling, reuse, composting, and anaerobic digestion. Emissions are allocated to the producer of the product, not the waste management company.</t>
  </si>
  <si>
    <t>Calculation Methods (GHG Protocol Scope 3 Standard, Chapter 5):
1. Waste-type-specific: Mass of product sold (tonne) × fraction to each disposal route × waste-type emission factor (kg CO₂e/tonne).
   Landfill: ~0.50–1.50 kg CO₂e/kg.
   Incineration: ~0.60–3.00 kg CO₂e/kg.
   Recycling: ~0.05–0.20 kg CO₂e/kg.
2. Average-data: Total mass of products sold (tonne) × national average    waste treatment mix emission factor.
Data sources: Product lifecycle data, national recycling/landfill statistics, IPCC Waste Module, US EPA WARM Model, EU waste statistics.</t>
  </si>
  <si>
    <t>IPCC Waste Module, US EPA WARM</t>
  </si>
  <si>
    <t>Waste audits, LCA reports, recycling records</t>
  </si>
  <si>
    <t>Cat 12 – End-of-Life Treatmen…</t>
  </si>
  <si>
    <t>Downstream Leased Assets</t>
  </si>
  <si>
    <t>Relevant for real estate &amp; vehicle lessors</t>
  </si>
  <si>
    <t>Scope 3, Category 13 covers emissions from the operation of assets owned by the reporting company (lessor) and leased to other entities (lessees). This is the mirror image of Category 8 (upstream leased assets). Relevant for real estate companies, vehicle fleet lessors, equipment rental companies, and any business that leases out assets it owns.</t>
  </si>
  <si>
    <t>Calculation Methods (GHG Protocol Scope 3 Standard, Chapter 5):
1. Asset-specific: Actual energy consumption of leased assets reported by lessees × appropriate emission factor.
2. Average-data: Floor area of leased property (m²) × average energy intensity (kWh/m²/yr) × grid emission factor; or leased vehicle-km × vehicle emission factor.
3. Lessee-reported: Collect actual energy/fuel consumption data from lessees.
Note: For companies using operational control approach, these assets are outside Scope 1/2 and must be captured in Category 13.</t>
  </si>
  <si>
    <t>Lessee energy meters, lease agreements</t>
  </si>
  <si>
    <t>Cat 13 – Downstream Leased As…</t>
  </si>
  <si>
    <t>Franchises</t>
  </si>
  <si>
    <t>Relevant for franchise-model businesses only</t>
  </si>
  <si>
    <t>Scope 3, Category 14 covers emissions from the operation of franchises not included in Scope 1 or Scope 2. This category is relevant only for franchisors. Franchise emissions are the Scope 1 and Scope 2 emissions of franchisee-owned-and-operated facilities that operate under the franchisor's brand and business model (e.g., fast food restaurants, hotels, petrol stations).</t>
  </si>
  <si>
    <t>Calculation Methods (GHG Protocol Scope 3 Standard, Chapter 5):
1. Franchisee-reported: Collect actual Scope 1 and Scope 2 emission data directly from franchisees.
2. Average-data: Number of franchisee locations × average emission factor per location type (kg CO₂e/location/yr).
   Example: Average fast-food outlet ~150–300 tCO₂e/yr.
3. Floor-area-based: Franchisee floor area (m²) × energy intensity (kWh/m²/yr) × emission factor for electricity + fuel.
Data sources: Franchise disclosure agreements, energy audits, peer benchmarks, IEA commercial building energy intensity data.</t>
  </si>
  <si>
    <t>IEA commercial building EI, utility data</t>
  </si>
  <si>
    <t>Franchisee sustainability reports</t>
  </si>
  <si>
    <t>Cat 14 – Franchises…</t>
  </si>
  <si>
    <t>Investments</t>
  </si>
  <si>
    <t>Most material for financial institutions</t>
  </si>
  <si>
    <t>Scope 3, Category 15 covers emissions associated with the reporting company's investments in the reporting year, not included in Scope 1 or 2. This is relevant for investors, banks, insurance companies, and any company with significant equity or debt holdings. Sub-categories: equity investments, debt investments (corporate bonds, project finance), managed investments, client services (for financial services companies), and other investments such as real assets and sovereign bonds.</t>
  </si>
  <si>
    <t>Calculation Methods (GHG Protocol Scope 3 Standard / PCAF Standard):
1. Equity investments: (Equity stake / Total equity + debt) × Investee's Scope 1+2 emissions.
   Attribution factor = Company's equity / Investee EVIC (Enterprise Value Including Cash).
2. Corporate bonds: (Outstanding amount / Investee EVIC) × Investee's Scope 1+2 emissions.
3. Project finance: (Loan amount / Total project cost) × Project Scope 1+2 emissions.
4. PCAF Data Quality Score (1–5): Prioritise DQ score 1 (reported) over DQ score 5 (modelled/estimated).
Sources: PCAF Global GHG Accounting and Reporting Standard (2022), investee sustainability reports, Bloomberg, Refinitiv ESG data.</t>
  </si>
  <si>
    <t>PCAF DQ Score table, Bloomberg ESG, Refinitiv</t>
  </si>
  <si>
    <t>CDP, Annual reports, Bloomberg ESG, PCAF</t>
  </si>
  <si>
    <t>Cat 15 – Investments…</t>
  </si>
  <si>
    <t>ℹ️  Practice Instructions: Each of the 15 category tabs contains 100 rows of sample data. Use this summary as a reference to understand the calculation methodology, then apply it to compute emissions for each row. Validate totals using GHG Protocol guidance.</t>
  </si>
  <si>
    <t>Scope 3 Inventory – Executive Summary (FY2023)</t>
  </si>
  <si>
    <t>Basis: GHG Protocol Corporate Value Chain (Scope 3) Standard; Cat 15 per PCAF (2022). All figures tCO₂e unless stated. Practice dataset: 100 rows per category.</t>
  </si>
  <si>
    <t>1. Scope 3 footprint by category</t>
  </si>
  <si>
    <t>Category</t>
  </si>
  <si>
    <t>Up / Down</t>
  </si>
  <si>
    <t>% of total</t>
  </si>
  <si>
    <t>Method applied</t>
  </si>
  <si>
    <t>Direct + indirect use-phase</t>
  </si>
  <si>
    <t>PCAF attribution factor</t>
  </si>
  <si>
    <t>Distance-based (tonne-km)</t>
  </si>
  <si>
    <t>Mass-based</t>
  </si>
  <si>
    <t>Asset-specific energy</t>
  </si>
  <si>
    <t>Waste-type-specific</t>
  </si>
  <si>
    <t>Distance-based + warehousing</t>
  </si>
  <si>
    <t>Franchisee Scope 1+2</t>
  </si>
  <si>
    <t>Fuel- &amp; Energy-Related Activities</t>
  </si>
  <si>
    <t>Upstream fuel + T&amp;D losses</t>
  </si>
  <si>
    <t>Average-data (mass)</t>
  </si>
  <si>
    <t>Distance-based + hotel nights</t>
  </si>
  <si>
    <t>Distance-based + WFH</t>
  </si>
  <si>
    <t>Average-data (process EF)</t>
  </si>
  <si>
    <t>Waste-type-specific – see flag F2</t>
  </si>
  <si>
    <t>Total</t>
  </si>
  <si>
    <t>Scope 3 – all 15 categories</t>
  </si>
  <si>
    <t>2. Where the footprint actually sits – drivers</t>
  </si>
  <si>
    <t>Metric</t>
  </si>
  <si>
    <t>tCO₂e</t>
  </si>
  <si>
    <t>% of parent</t>
  </si>
  <si>
    <t>Cat 11 – Fuel combustion in sold products (direct use-phase)</t>
  </si>
  <si>
    <t>Cat 11 – Electricity consumed by sold products (indirect use-phase)</t>
  </si>
  <si>
    <t>Cat 4 – Air freight share of upstream logistics</t>
  </si>
  <si>
    <t>Cat 15 – Utilities + Oil &amp; Gas financed emissions</t>
  </si>
  <si>
    <t>Cat 12 – Landfill share of end-of-life emissions</t>
  </si>
  <si>
    <t>Total downstream (Cat 9–15)</t>
  </si>
  <si>
    <t>Total upstream (Cat 1–8)</t>
  </si>
  <si>
    <t>3. Data quality &amp; assurance flags</t>
  </si>
  <si>
    <t>Flag</t>
  </si>
  <si>
    <t>Issue</t>
  </si>
  <si>
    <t>Measure</t>
  </si>
  <si>
    <t>Value</t>
  </si>
  <si>
    <t>Implication</t>
  </si>
  <si>
    <t>F1</t>
  </si>
  <si>
    <t>Spend-based EFs are ~2 orders of magnitude below EEIO norms (e.g. Cat 4 freight EF ≈0.0014 vs GLEC/EEIO ≈0.2–1.0 kg CO₂e/USD). Spend method is unusable as reported.</t>
  </si>
  <si>
    <t>Cat 4: distance-based ÷ spend-based</t>
  </si>
  <si>
    <t>Rebuild spend EF library before any spend-based reporting</t>
  </si>
  <si>
    <t>F2</t>
  </si>
  <si>
    <t>Cat 5 waste EFs are labelled kg CO₂e/tonne but carry per-kg magnitudes (0.07–0.77 vs GHG Protocol landfill 0.45–1.30 kg CO₂e/kg). Category understated ~1,000×.</t>
  </si>
  <si>
    <t>Cat 5 as reported vs unit-corrected</t>
  </si>
  <si>
    <t>Correct unit basis; immaterial to total but a visible audit finding</t>
  </si>
  <si>
    <t>F3</t>
  </si>
  <si>
    <t>Cat 1 method divergence: average-data result is multiples of the spend-based result, and only a minority of lines have supplier primary data.</t>
  </si>
  <si>
    <t>Cat 1 lines with primary data</t>
  </si>
  <si>
    <t>Supplier engagement needed to move to hybrid method</t>
  </si>
  <si>
    <t>F4</t>
  </si>
  <si>
    <t>PCAF data quality on financed emissions is weak – a large share of the portfolio sits at score 4–5 (modelled / estimated).</t>
  </si>
  <si>
    <t>Cat 15 holdings at PCAF DQ 4–5</t>
  </si>
  <si>
    <t>Target DQ 1–2 for top exposures ahead of assurance</t>
  </si>
  <si>
    <t>F5</t>
  </si>
  <si>
    <t>Concentration risk: two categories drive the inventory, so total footprint is only as reliable as their inputs (product lifetime, usage, grid EF, EVIC).</t>
  </si>
  <si>
    <t>Cat 11 + Cat 15 share of total</t>
  </si>
  <si>
    <t>Focus assurance and decarbonisation effort here</t>
  </si>
  <si>
    <t>Scope 3 Emissions Dashboard – FY2023</t>
  </si>
  <si>
    <t>GHG Protocol Corporate Value Chain (Scope 3) Standard | Cat 15 per PCAF (2022) | All figures tCO₂e unless stated | Linked live to 'Exec Summary' and category tabs</t>
  </si>
  <si>
    <t>Total Scope 3</t>
  </si>
  <si>
    <t>All 15 categories, tCO₂e ÷ 1m</t>
  </si>
  <si>
    <t>Downstream share</t>
  </si>
  <si>
    <t>Cat 9–15</t>
  </si>
  <si>
    <t>Upstream share</t>
  </si>
  <si>
    <t>Cat 1–8</t>
  </si>
  <si>
    <t>Top-2 concentration</t>
  </si>
  <si>
    <t>Cat 11 + Cat 15</t>
  </si>
  <si>
    <t>Cat 11 direct use-phase</t>
  </si>
  <si>
    <t>Fuel combustion share of Cat 11</t>
  </si>
  <si>
    <t>Holdings at PCAF DQ 4–5</t>
  </si>
  <si>
    <t>Cat 15 – weak data quality</t>
  </si>
  <si>
    <t>1. Emissions by category (ranked)</t>
  </si>
  <si>
    <t>Stream</t>
  </si>
  <si>
    <t>Chart data (linked – do not overwrite)</t>
  </si>
  <si>
    <t>Concentration</t>
  </si>
  <si>
    <t>Cat 11 Use of sold products</t>
  </si>
  <si>
    <t>Cat 15 Investments</t>
  </si>
  <si>
    <t>Other 13 categories</t>
  </si>
  <si>
    <t>Product key</t>
  </si>
  <si>
    <t>Product type</t>
  </si>
  <si>
    <t>Industrial equipment (fuel)</t>
  </si>
  <si>
    <t>Diesel engines / vehicles</t>
  </si>
  <si>
    <t>Petrol engines / vehicles</t>
  </si>
  <si>
    <t>Electric vehicles / equipment</t>
  </si>
  <si>
    <t>Heat pumps</t>
  </si>
  <si>
    <t>Air conditioners</t>
  </si>
  <si>
    <t>Refrigerators</t>
  </si>
  <si>
    <t>Washing machines</t>
  </si>
  <si>
    <t>LED lighting</t>
  </si>
  <si>
    <t>Laptops</t>
  </si>
  <si>
    <t>PCAF DQ score</t>
  </si>
  <si>
    <t># holdings</t>
  </si>
  <si>
    <t>2. What drives the footprint</t>
  </si>
  <si>
    <t>3. Rest of the inventory &amp; financed-emissions data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</si>
</sst>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
    <numFmt numFmtId="167" formatCode="#,##0&quot;x&quot;"/>
    <numFmt numFmtId="168" formatCode="0.00\ &quot;Mt&quot;"/>
    <numFmt numFmtId="169" formatCode="0.00%;\(0.00%\);\-"/>
    <numFmt numFmtId="170" formatCode="#,##0.0"/>
  </numFmts>
  <fonts count="26" x14ac:knownFonts="1">
    <font>
      <sz val="11"/>
      <color theme="1"/>
      <name val="Calibri"/>
      <family val="2"/>
      <scheme val="minor"/>
    </font>
    <font>
      <b/>
      <sz val="14"/>
      <color rgb="FFFFFFFF"/>
      <name val="Arial"/>
      <family val="2"/>
    </font>
    <font>
      <i/>
      <sz val="9"/>
      <color rgb="FFFFFFFF"/>
      <name val="Arial"/>
      <family val="2"/>
    </font>
    <font>
      <b/>
      <sz val="10"/>
      <color rgb="FFFFFFFF"/>
      <name val="Arial"/>
      <family val="2"/>
    </font>
    <font>
      <sz val="9"/>
      <color rgb="FF404040"/>
      <name val="Arial"/>
      <family val="2"/>
    </font>
    <font>
      <b/>
      <sz val="15"/>
      <color rgb="FFFFFFFF"/>
      <name val="Arial"/>
      <family val="2"/>
    </font>
    <font>
      <b/>
      <sz val="9"/>
      <color rgb="FF404040"/>
      <name val="Arial"/>
      <family val="2"/>
    </font>
    <font>
      <b/>
      <sz val="10"/>
      <color rgb="FF1F3864"/>
      <name val="Arial"/>
      <family val="2"/>
    </font>
    <font>
      <b/>
      <sz val="11"/>
      <color theme="1"/>
      <name val="Calibri"/>
      <family val="2"/>
      <scheme val="minor"/>
    </font>
    <font>
      <b/>
      <sz val="16"/>
      <color theme="1"/>
      <name val="Calibri"/>
      <family val="2"/>
      <scheme val="minor"/>
    </font>
    <font>
      <i/>
      <sz val="9"/>
      <color rgb="FF595959"/>
      <name val="Calibri"/>
      <family val="2"/>
      <scheme val="minor"/>
    </font>
    <font>
      <b/>
      <sz val="12"/>
      <color theme="1"/>
      <name val="Calibri"/>
      <family val="2"/>
      <scheme val="minor"/>
    </font>
    <font>
      <b/>
      <sz val="11"/>
      <color rgb="FFFFFFFF"/>
      <name val="Calibri"/>
      <family val="2"/>
      <scheme val="minor"/>
    </font>
    <font>
      <sz val="10"/>
      <color theme="1"/>
      <name val="Calibri"/>
      <scheme val="minor"/>
    </font>
    <font>
      <b/>
      <sz val="20"/>
      <color rgb="FFFFFFFF"/>
      <name val="Calibri"/>
      <scheme val="minor"/>
    </font>
    <font>
      <sz val="9"/>
      <color theme="1"/>
      <name val="Calibri"/>
      <scheme val="minor"/>
    </font>
    <font>
      <i/>
      <sz val="9"/>
      <color rgb="FFD6E0EB"/>
      <name val="Calibri"/>
      <scheme val="minor"/>
    </font>
    <font>
      <b/>
      <sz val="9"/>
      <color rgb="FF4A7BA7"/>
      <name val="Calibri"/>
      <family val="2"/>
      <scheme val="minor"/>
    </font>
    <font>
      <b/>
      <sz val="22"/>
      <color rgb="FF1F3A5F"/>
      <name val="Calibri"/>
      <family val="2"/>
      <scheme val="minor"/>
    </font>
    <font>
      <i/>
      <sz val="8"/>
      <color rgb="FF7F8C9A"/>
      <name val="Calibri"/>
      <family val="2"/>
      <scheme val="minor"/>
    </font>
    <font>
      <b/>
      <sz val="12"/>
      <color rgb="FF1F3A5F"/>
      <name val="Calibri"/>
      <scheme val="minor"/>
    </font>
    <font>
      <b/>
      <sz val="9"/>
      <color rgb="FFFFFFFF"/>
      <name val="Calibri"/>
      <scheme val="minor"/>
    </font>
    <font>
      <b/>
      <sz val="9"/>
      <color theme="1"/>
      <name val="Calibri"/>
      <scheme val="minor"/>
    </font>
    <font>
      <sz val="8"/>
      <color theme="1"/>
      <name val="Calibri"/>
      <scheme val="minor"/>
    </font>
    <font>
      <b/>
      <sz val="8"/>
      <color theme="1"/>
      <name val="Calibri"/>
      <scheme val="minor"/>
    </font>
    <font>
      <b/>
      <sz val="8"/>
      <color rgb="FF4A7BA7"/>
      <name val="Calibri"/>
      <scheme val="minor"/>
    </font>
  </fonts>
  <fills count="12">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DEEAF1"/>
      </patternFill>
    </fill>
    <fill>
      <patternFill patternType="solid">
        <fgColor rgb="FFFFC000"/>
      </patternFill>
    </fill>
    <fill>
      <patternFill patternType="solid">
        <fgColor rgb="FF1F3864"/>
        <bgColor indexed="64"/>
      </patternFill>
    </fill>
    <fill>
      <patternFill patternType="solid">
        <fgColor rgb="FFFFF2CC"/>
        <bgColor indexed="64"/>
      </patternFill>
    </fill>
    <fill>
      <patternFill patternType="solid">
        <fgColor rgb="FF1F3A5F"/>
        <bgColor indexed="64"/>
      </patternFill>
    </fill>
    <fill>
      <patternFill patternType="solid">
        <fgColor rgb="FFF5F7FA"/>
        <bgColor indexed="64"/>
      </patternFill>
    </fill>
    <fill>
      <patternFill patternType="solid">
        <fgColor rgb="FFD6E0EB"/>
        <bgColor indexed="64"/>
      </patternFill>
    </fill>
  </fills>
  <borders count="11">
    <border>
      <left/>
      <right/>
      <top/>
      <bottom/>
      <diagonal/>
    </border>
    <border>
      <left style="thin">
        <color rgb="FFB8CCE4"/>
      </left>
      <right style="thin">
        <color rgb="FFB8CCE4"/>
      </right>
      <top style="thin">
        <color rgb="FFB8CCE4"/>
      </top>
      <bottom style="thin">
        <color rgb="FFB8CCE4"/>
      </bottom>
      <diagonal/>
    </border>
    <border>
      <left/>
      <right/>
      <top style="thin">
        <color auto="1"/>
      </top>
      <bottom/>
      <diagonal/>
    </border>
    <border>
      <left style="thick">
        <color rgb="FFFFFFFF"/>
      </left>
      <right/>
      <top/>
      <bottom/>
      <diagonal/>
    </border>
    <border>
      <left/>
      <right style="thick">
        <color rgb="FFFFFFFF"/>
      </right>
      <top/>
      <bottom/>
      <diagonal/>
    </border>
    <border>
      <left style="thick">
        <color rgb="FFFFFFFF"/>
      </left>
      <right/>
      <top style="thick">
        <color rgb="FF4A7BA7"/>
      </top>
      <bottom/>
      <diagonal/>
    </border>
    <border>
      <left/>
      <right style="thick">
        <color rgb="FFFFFFFF"/>
      </right>
      <top style="thick">
        <color rgb="FF4A7BA7"/>
      </top>
      <bottom/>
      <diagonal/>
    </border>
    <border>
      <left/>
      <right/>
      <top style="thick">
        <color rgb="FF4A7BA7"/>
      </top>
      <bottom/>
      <diagonal/>
    </border>
    <border>
      <left/>
      <right/>
      <top/>
      <bottom style="medium">
        <color rgb="FF1F3A5F"/>
      </bottom>
      <diagonal/>
    </border>
    <border>
      <left/>
      <right/>
      <top style="medium">
        <color rgb="FF1F3A5F"/>
      </top>
      <bottom/>
      <diagonal/>
    </border>
    <border>
      <left/>
      <right/>
      <top style="thin">
        <color rgb="FF1F3A5F"/>
      </top>
      <bottom/>
      <diagonal/>
    </border>
  </borders>
  <cellStyleXfs count="1">
    <xf numFmtId="0" fontId="0" fillId="0" borderId="0"/>
  </cellStyleXfs>
  <cellXfs count="69">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6" fillId="5" borderId="1" xfId="0" applyFont="1" applyFill="1" applyBorder="1" applyAlignment="1">
      <alignment horizontal="center" vertical="top"/>
    </xf>
    <xf numFmtId="0" fontId="6"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6" fillId="4" borderId="1" xfId="0" applyFont="1" applyFill="1" applyBorder="1" applyAlignment="1">
      <alignment horizontal="center" vertical="top"/>
    </xf>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9" fillId="0" borderId="0" xfId="0" applyFont="1"/>
    <xf numFmtId="0" fontId="11" fillId="0" borderId="0" xfId="0" applyFont="1"/>
    <xf numFmtId="0" fontId="12" fillId="7" borderId="0" xfId="0" applyFont="1" applyFill="1" applyAlignment="1">
      <alignment vertical="center"/>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8" fillId="0" borderId="0" xfId="0" applyFont="1"/>
    <xf numFmtId="0" fontId="8" fillId="0" borderId="2" xfId="0" applyFont="1" applyBorder="1"/>
    <xf numFmtId="164" fontId="8" fillId="0" borderId="2" xfId="0" applyNumberFormat="1" applyFont="1" applyBorder="1"/>
    <xf numFmtId="165" fontId="8" fillId="0" borderId="2" xfId="0" applyNumberFormat="1" applyFont="1" applyBorder="1"/>
    <xf numFmtId="0" fontId="0" fillId="8" borderId="0" xfId="0" applyFill="1"/>
    <xf numFmtId="164" fontId="0" fillId="8" borderId="0" xfId="0" applyNumberFormat="1" applyFill="1"/>
    <xf numFmtId="165" fontId="0" fillId="8" borderId="0" xfId="0" applyNumberFormat="1" applyFill="1"/>
    <xf numFmtId="0" fontId="0" fillId="0" borderId="0" xfId="0" applyAlignment="1">
      <alignment wrapText="1"/>
    </xf>
    <xf numFmtId="0" fontId="10" fillId="0" borderId="0" xfId="0" applyFont="1"/>
    <xf numFmtId="0" fontId="1"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xf numFmtId="0" fontId="5" fillId="2" borderId="0" xfId="0" applyFont="1" applyFill="1" applyAlignment="1">
      <alignment horizontal="center" vertical="center" wrapText="1"/>
    </xf>
    <xf numFmtId="0" fontId="7" fillId="6" borderId="1" xfId="0" applyFont="1" applyFill="1" applyBorder="1" applyAlignment="1">
      <alignment horizontal="left" vertical="center" wrapText="1"/>
    </xf>
    <xf numFmtId="0" fontId="13" fillId="0" borderId="0" xfId="0" applyFont="1"/>
    <xf numFmtId="0" fontId="13" fillId="9" borderId="0" xfId="0" applyFont="1" applyFill="1"/>
    <xf numFmtId="0" fontId="14" fillId="9" borderId="0" xfId="0" applyFont="1" applyFill="1"/>
    <xf numFmtId="0" fontId="16" fillId="9" borderId="0" xfId="0" applyFont="1" applyFill="1"/>
    <xf numFmtId="0" fontId="17" fillId="0" borderId="5" xfId="0" applyFont="1" applyBorder="1" applyAlignment="1">
      <alignment horizontal="center" vertical="center"/>
    </xf>
    <xf numFmtId="0" fontId="0" fillId="0" borderId="6" xfId="0" applyBorder="1" applyAlignment="1">
      <alignment horizontal="center" vertical="center"/>
    </xf>
    <xf numFmtId="168" fontId="18" fillId="0" borderId="3" xfId="0" applyNumberFormat="1" applyFont="1" applyBorder="1" applyAlignment="1">
      <alignment horizontal="center" vertical="center"/>
    </xf>
    <xf numFmtId="0" fontId="0" fillId="0" borderId="4" xfId="0" applyBorder="1" applyAlignment="1">
      <alignment horizontal="center" vertical="center"/>
    </xf>
    <xf numFmtId="0" fontId="19" fillId="0" borderId="3" xfId="0" applyFont="1" applyBorder="1" applyAlignment="1">
      <alignment horizontal="center" vertical="center"/>
    </xf>
    <xf numFmtId="0" fontId="0" fillId="0" borderId="7" xfId="0" applyBorder="1" applyAlignment="1">
      <alignment horizontal="center" vertical="center"/>
    </xf>
    <xf numFmtId="0" fontId="0" fillId="0" borderId="0" xfId="0" applyBorder="1" applyAlignment="1">
      <alignment horizontal="center" vertical="center"/>
    </xf>
    <xf numFmtId="166" fontId="18" fillId="0" borderId="3"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20" fillId="0" borderId="0" xfId="0" applyFont="1"/>
    <xf numFmtId="0" fontId="20" fillId="0" borderId="8" xfId="0" applyFont="1" applyBorder="1"/>
    <xf numFmtId="0" fontId="13" fillId="0" borderId="8" xfId="0" applyFont="1" applyBorder="1"/>
    <xf numFmtId="0" fontId="21" fillId="9" borderId="0" xfId="0" applyFont="1" applyFill="1"/>
    <xf numFmtId="0" fontId="21" fillId="9" borderId="9" xfId="0" applyFont="1" applyFill="1" applyBorder="1"/>
    <xf numFmtId="0" fontId="15" fillId="0" borderId="0" xfId="0" applyFont="1"/>
    <xf numFmtId="0" fontId="15" fillId="10" borderId="0" xfId="0" applyFont="1" applyFill="1"/>
    <xf numFmtId="0" fontId="22" fillId="11" borderId="10" xfId="0" applyFont="1" applyFill="1" applyBorder="1"/>
    <xf numFmtId="0" fontId="22" fillId="11" borderId="10" xfId="0" applyFont="1" applyFill="1" applyBorder="1"/>
    <xf numFmtId="0" fontId="15" fillId="0" borderId="0" xfId="0" applyFont="1" applyAlignment="1">
      <alignment horizontal="center"/>
    </xf>
    <xf numFmtId="0" fontId="15" fillId="10" borderId="0" xfId="0" applyFont="1" applyFill="1" applyAlignment="1">
      <alignment horizontal="center"/>
    </xf>
    <xf numFmtId="0" fontId="22" fillId="11" borderId="10" xfId="0" applyFont="1" applyFill="1" applyBorder="1" applyAlignment="1">
      <alignment horizontal="center"/>
    </xf>
    <xf numFmtId="164" fontId="15" fillId="0" borderId="0" xfId="0" applyNumberFormat="1" applyFont="1"/>
    <xf numFmtId="164" fontId="15" fillId="10" borderId="0" xfId="0" applyNumberFormat="1" applyFont="1" applyFill="1"/>
    <xf numFmtId="164" fontId="22" fillId="11" borderId="10" xfId="0" applyNumberFormat="1" applyFont="1" applyFill="1" applyBorder="1"/>
    <xf numFmtId="169" fontId="15" fillId="0" borderId="0" xfId="0" applyNumberFormat="1" applyFont="1"/>
    <xf numFmtId="169" fontId="15" fillId="10" borderId="0" xfId="0" applyNumberFormat="1" applyFont="1" applyFill="1"/>
    <xf numFmtId="169" fontId="22" fillId="11" borderId="10" xfId="0" applyNumberFormat="1" applyFont="1" applyFill="1" applyBorder="1"/>
    <xf numFmtId="0" fontId="21" fillId="9" borderId="0" xfId="0" applyFont="1" applyFill="1" applyAlignment="1">
      <alignment horizontal="right"/>
    </xf>
    <xf numFmtId="0" fontId="23" fillId="0" borderId="0" xfId="0" applyFont="1"/>
    <xf numFmtId="0" fontId="24" fillId="11" borderId="0" xfId="0" applyFont="1" applyFill="1"/>
    <xf numFmtId="0" fontId="25" fillId="0" borderId="0" xfId="0" applyFont="1"/>
    <xf numFmtId="3" fontId="23" fillId="0" borderId="0" xfId="0" applyNumberFormat="1" applyFont="1"/>
    <xf numFmtId="170" fontId="23" fillId="0" borderId="0" xfId="0" applyNumberFormat="1" applyFont="1"/>
  </cellXfs>
  <cellStyles count="1">
    <cellStyle name="Normal" xfId="0" builtinId="0"/>
  </cellStyles>
  <dxfs count="2">
    <dxf>
      <font>
        <color rgb="FF4E8A5A"/>
      </font>
    </dxf>
    <dxf>
      <font>
        <color rgb="FFC0504D"/>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r>
              <a:rPr lang="en-US"/>
              <a:t>Share of Scope 3 (tCO₂e)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endParaRPr lang="en-US"/>
        </a:p>
      </c:txPr>
    </c:title>
    <c:autoTitleDeleted val="0"/>
    <c:plotArea>
      <c:layout/>
      <c:doughnutChart>
        <c:varyColors val="1"/>
        <c:ser>
          <c:idx val="0"/>
          <c:order val="0"/>
          <c:tx>
            <c:strRef>
              <c:f>Dashboard!$C$82</c:f>
              <c:strCache>
                <c:ptCount val="1"/>
                <c:pt idx="0">
                  <c:v>tCO₂e</c:v>
                </c:pt>
              </c:strCache>
            </c:strRef>
          </c:tx>
          <c:dPt>
            <c:idx val="0"/>
            <c:bubble3D val="0"/>
            <c:spPr>
              <a:solidFill>
                <a:srgbClr val="1F3A5F"/>
              </a:solidFill>
              <a:ln w="19050">
                <a:solidFill>
                  <a:schemeClr val="lt1"/>
                </a:solidFill>
              </a:ln>
              <a:effectLst/>
            </c:spPr>
            <c:extLst>
              <c:ext xmlns:c16="http://schemas.microsoft.com/office/drawing/2014/chart" uri="{C3380CC4-5D6E-409C-BE32-E72D297353CC}">
                <c16:uniqueId val="{00000001-754F-4867-A3EC-50E79E1B97CF}"/>
              </c:ext>
            </c:extLst>
          </c:dPt>
          <c:dPt>
            <c:idx val="1"/>
            <c:bubble3D val="0"/>
            <c:spPr>
              <a:solidFill>
                <a:srgbClr val="4A7BA7"/>
              </a:solidFill>
              <a:ln w="19050">
                <a:solidFill>
                  <a:schemeClr val="lt1"/>
                </a:solidFill>
              </a:ln>
              <a:effectLst/>
            </c:spPr>
            <c:extLst>
              <c:ext xmlns:c16="http://schemas.microsoft.com/office/drawing/2014/chart" uri="{C3380CC4-5D6E-409C-BE32-E72D297353CC}">
                <c16:uniqueId val="{00000002-754F-4867-A3EC-50E79E1B97CF}"/>
              </c:ext>
            </c:extLst>
          </c:dPt>
          <c:dPt>
            <c:idx val="2"/>
            <c:bubble3D val="0"/>
            <c:spPr>
              <a:solidFill>
                <a:srgbClr val="E07B39"/>
              </a:solidFill>
              <a:ln w="19050">
                <a:solidFill>
                  <a:schemeClr val="lt1"/>
                </a:solidFill>
              </a:ln>
              <a:effectLst/>
            </c:spPr>
            <c:extLst>
              <c:ext xmlns:c16="http://schemas.microsoft.com/office/drawing/2014/chart" uri="{C3380CC4-5D6E-409C-BE32-E72D297353CC}">
                <c16:uniqueId val="{00000003-754F-4867-A3EC-50E79E1B97CF}"/>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Dashboard!$B$83:$B$85</c:f>
              <c:strCache>
                <c:ptCount val="3"/>
                <c:pt idx="0">
                  <c:v>Cat 11 Use of sold products</c:v>
                </c:pt>
                <c:pt idx="1">
                  <c:v>Cat 15 Investments</c:v>
                </c:pt>
                <c:pt idx="2">
                  <c:v>Other 13 categories</c:v>
                </c:pt>
              </c:strCache>
            </c:strRef>
          </c:cat>
          <c:val>
            <c:numRef>
              <c:f>Dashboard!$C$83:$C$85</c:f>
              <c:numCache>
                <c:formatCode>#,##0</c:formatCode>
                <c:ptCount val="3"/>
                <c:pt idx="0">
                  <c:v>62357323.040000007</c:v>
                </c:pt>
                <c:pt idx="1">
                  <c:v>5577597.950000003</c:v>
                </c:pt>
                <c:pt idx="2">
                  <c:v>153893.18076001108</c:v>
                </c:pt>
              </c:numCache>
            </c:numRef>
          </c:val>
          <c:extLst>
            <c:ext xmlns:c16="http://schemas.microsoft.com/office/drawing/2014/chart" uri="{C3380CC4-5D6E-409C-BE32-E72D297353CC}">
              <c16:uniqueId val="{00000000-754F-4867-A3EC-50E79E1B97C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0EB"/>
      </a:solidFill>
      <a:prstDash val="solid"/>
      <a:round/>
    </a:ln>
    <a:effectLst/>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r>
              <a:rPr lang="en-US"/>
              <a:t>Cat 11 – Use-phase emissions by product type (tCO₂e)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endParaRPr lang="en-US"/>
        </a:p>
      </c:txPr>
    </c:title>
    <c:autoTitleDeleted val="0"/>
    <c:plotArea>
      <c:layout/>
      <c:barChart>
        <c:barDir val="bar"/>
        <c:grouping val="clustered"/>
        <c:varyColors val="0"/>
        <c:ser>
          <c:idx val="0"/>
          <c:order val="0"/>
          <c:tx>
            <c:strRef>
              <c:f>Dashboard!$G$82</c:f>
              <c:strCache>
                <c:ptCount val="1"/>
                <c:pt idx="0">
                  <c:v>tCO₂e</c:v>
                </c:pt>
              </c:strCache>
            </c:strRef>
          </c:tx>
          <c:spPr>
            <a:solidFill>
              <a:srgbClr val="1F3A5F"/>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Dashboard!$F$83:$F$92</c:f>
              <c:strCache>
                <c:ptCount val="10"/>
                <c:pt idx="0">
                  <c:v>Industrial equipment (fuel)</c:v>
                </c:pt>
                <c:pt idx="1">
                  <c:v>Petrol engines / vehicles</c:v>
                </c:pt>
                <c:pt idx="2">
                  <c:v>Diesel engines / vehicles</c:v>
                </c:pt>
                <c:pt idx="3">
                  <c:v>Heat pumps</c:v>
                </c:pt>
                <c:pt idx="4">
                  <c:v>Air conditioners</c:v>
                </c:pt>
                <c:pt idx="5">
                  <c:v>Electric vehicles / equipment</c:v>
                </c:pt>
                <c:pt idx="6">
                  <c:v>Refrigerators</c:v>
                </c:pt>
                <c:pt idx="7">
                  <c:v>Washing machines</c:v>
                </c:pt>
                <c:pt idx="8">
                  <c:v>LED lighting</c:v>
                </c:pt>
                <c:pt idx="9">
                  <c:v>Laptops</c:v>
                </c:pt>
              </c:strCache>
            </c:strRef>
          </c:cat>
          <c:val>
            <c:numRef>
              <c:f>Dashboard!$G$83:$G$92</c:f>
              <c:numCache>
                <c:formatCode>#,##0</c:formatCode>
                <c:ptCount val="10"/>
                <c:pt idx="0">
                  <c:v>41921162.299999997</c:v>
                </c:pt>
                <c:pt idx="1">
                  <c:v>6714916.3099999996</c:v>
                </c:pt>
                <c:pt idx="2">
                  <c:v>6026720.2799999993</c:v>
                </c:pt>
                <c:pt idx="3">
                  <c:v>3072232.03</c:v>
                </c:pt>
                <c:pt idx="4">
                  <c:v>1800636.5</c:v>
                </c:pt>
                <c:pt idx="5">
                  <c:v>1789617.67</c:v>
                </c:pt>
                <c:pt idx="6">
                  <c:v>650025.02</c:v>
                </c:pt>
                <c:pt idx="7">
                  <c:v>320117.45999999996</c:v>
                </c:pt>
                <c:pt idx="8">
                  <c:v>48014.65</c:v>
                </c:pt>
                <c:pt idx="9">
                  <c:v>13880.82</c:v>
                </c:pt>
              </c:numCache>
            </c:numRef>
          </c:val>
          <c:extLst>
            <c:ext xmlns:c16="http://schemas.microsoft.com/office/drawing/2014/chart" uri="{C3380CC4-5D6E-409C-BE32-E72D297353CC}">
              <c16:uniqueId val="{00000000-7574-4340-AB95-AB51E6EC8D2F}"/>
            </c:ext>
          </c:extLst>
        </c:ser>
        <c:dLbls>
          <c:showLegendKey val="0"/>
          <c:showVal val="0"/>
          <c:showCatName val="0"/>
          <c:showSerName val="0"/>
          <c:showPercent val="0"/>
          <c:showBubbleSize val="0"/>
        </c:dLbls>
        <c:gapWidth val="50"/>
        <c:axId val="737732976"/>
        <c:axId val="1878440624"/>
      </c:barChart>
      <c:catAx>
        <c:axId val="7377329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1878440624"/>
        <c:crosses val="autoZero"/>
        <c:auto val="1"/>
        <c:lblAlgn val="ctr"/>
        <c:lblOffset val="100"/>
        <c:noMultiLvlLbl val="0"/>
      </c:catAx>
      <c:valAx>
        <c:axId val="1878440624"/>
        <c:scaling>
          <c:orientation val="minMax"/>
        </c:scaling>
        <c:delete val="0"/>
        <c:axPos val="t"/>
        <c:majorGridlines>
          <c:spPr>
            <a:ln w="9525" cap="flat" cmpd="sng" algn="ctr">
              <a:solidFill>
                <a:srgbClr val="EEF2F7"/>
              </a:solidFill>
              <a:prstDash val="solid"/>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73773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0EB"/>
      </a:solidFill>
      <a:prstDash val="solid"/>
      <a:round/>
    </a:ln>
    <a:effectLst/>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r>
              <a:rPr lang="en-US"/>
              <a:t>Cat 15 – Financed emissions by sector (tCO₂e)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endParaRPr lang="en-US"/>
        </a:p>
      </c:txPr>
    </c:title>
    <c:autoTitleDeleted val="0"/>
    <c:plotArea>
      <c:layout/>
      <c:barChart>
        <c:barDir val="bar"/>
        <c:grouping val="clustered"/>
        <c:varyColors val="0"/>
        <c:ser>
          <c:idx val="0"/>
          <c:order val="0"/>
          <c:tx>
            <c:strRef>
              <c:f>Dashboard!$J$82</c:f>
              <c:strCache>
                <c:ptCount val="1"/>
                <c:pt idx="0">
                  <c:v>tCO₂e</c:v>
                </c:pt>
              </c:strCache>
            </c:strRef>
          </c:tx>
          <c:spPr>
            <a:solidFill>
              <a:srgbClr val="4A7BA7"/>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Dashboard!$I$83:$I$97</c:f>
              <c:strCache>
                <c:ptCount val="15"/>
                <c:pt idx="0">
                  <c:v>Utilities</c:v>
                </c:pt>
                <c:pt idx="1">
                  <c:v>Oil &amp; Gas</c:v>
                </c:pt>
                <c:pt idx="2">
                  <c:v>Agriculture</c:v>
                </c:pt>
                <c:pt idx="3">
                  <c:v>Cement</c:v>
                </c:pt>
                <c:pt idx="4">
                  <c:v>Transport</c:v>
                </c:pt>
                <c:pt idx="5">
                  <c:v>Mining</c:v>
                </c:pt>
                <c:pt idx="6">
                  <c:v>Automotive</c:v>
                </c:pt>
                <c:pt idx="7">
                  <c:v>Retail</c:v>
                </c:pt>
                <c:pt idx="8">
                  <c:v>Aviation</c:v>
                </c:pt>
                <c:pt idx="9">
                  <c:v>Pharmaceuticals</c:v>
                </c:pt>
                <c:pt idx="10">
                  <c:v>Real Estate</c:v>
                </c:pt>
                <c:pt idx="11">
                  <c:v>Technology</c:v>
                </c:pt>
                <c:pt idx="12">
                  <c:v>Steel</c:v>
                </c:pt>
                <c:pt idx="13">
                  <c:v>Financial Services</c:v>
                </c:pt>
                <c:pt idx="14">
                  <c:v>Chemicals</c:v>
                </c:pt>
              </c:strCache>
            </c:strRef>
          </c:cat>
          <c:val>
            <c:numRef>
              <c:f>Dashboard!$J$83:$J$97</c:f>
              <c:numCache>
                <c:formatCode>#,##0</c:formatCode>
                <c:ptCount val="15"/>
                <c:pt idx="0">
                  <c:v>1029381.4</c:v>
                </c:pt>
                <c:pt idx="1">
                  <c:v>725034.70000000007</c:v>
                </c:pt>
                <c:pt idx="2">
                  <c:v>480242.69000000006</c:v>
                </c:pt>
                <c:pt idx="3">
                  <c:v>474374.47</c:v>
                </c:pt>
                <c:pt idx="4">
                  <c:v>462477.72000000003</c:v>
                </c:pt>
                <c:pt idx="5">
                  <c:v>382526.74999999994</c:v>
                </c:pt>
                <c:pt idx="6">
                  <c:v>374186.7</c:v>
                </c:pt>
                <c:pt idx="7">
                  <c:v>332203.02</c:v>
                </c:pt>
                <c:pt idx="8">
                  <c:v>309671.03999999998</c:v>
                </c:pt>
                <c:pt idx="9">
                  <c:v>276842.94999999995</c:v>
                </c:pt>
                <c:pt idx="10">
                  <c:v>237144.72</c:v>
                </c:pt>
                <c:pt idx="11">
                  <c:v>231883.03999999998</c:v>
                </c:pt>
                <c:pt idx="12">
                  <c:v>161225.20000000001</c:v>
                </c:pt>
                <c:pt idx="13">
                  <c:v>87210.57</c:v>
                </c:pt>
                <c:pt idx="14">
                  <c:v>13192.98</c:v>
                </c:pt>
              </c:numCache>
            </c:numRef>
          </c:val>
          <c:extLst>
            <c:ext xmlns:c16="http://schemas.microsoft.com/office/drawing/2014/chart" uri="{C3380CC4-5D6E-409C-BE32-E72D297353CC}">
              <c16:uniqueId val="{00000000-EA57-45CD-950E-A0AF5737DFA6}"/>
            </c:ext>
          </c:extLst>
        </c:ser>
        <c:dLbls>
          <c:showLegendKey val="0"/>
          <c:showVal val="0"/>
          <c:showCatName val="0"/>
          <c:showSerName val="0"/>
          <c:showPercent val="0"/>
          <c:showBubbleSize val="0"/>
        </c:dLbls>
        <c:gapWidth val="50"/>
        <c:axId val="737730192"/>
        <c:axId val="1878475184"/>
      </c:barChart>
      <c:catAx>
        <c:axId val="737730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1878475184"/>
        <c:crosses val="autoZero"/>
        <c:auto val="1"/>
        <c:lblAlgn val="ctr"/>
        <c:lblOffset val="100"/>
        <c:noMultiLvlLbl val="0"/>
      </c:catAx>
      <c:valAx>
        <c:axId val="1878475184"/>
        <c:scaling>
          <c:orientation val="minMax"/>
        </c:scaling>
        <c:delete val="0"/>
        <c:axPos val="t"/>
        <c:majorGridlines>
          <c:spPr>
            <a:ln w="9525" cap="flat" cmpd="sng" algn="ctr">
              <a:solidFill>
                <a:srgbClr val="EEF2F7"/>
              </a:solidFill>
              <a:prstDash val="solid"/>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73773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0EB"/>
      </a:solidFill>
      <a:prstDash val="solid"/>
      <a:round/>
    </a:ln>
    <a:effectLst/>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r>
              <a:rPr lang="en-US"/>
              <a:t>Other 13 categories (tCO₂e)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endParaRPr lang="en-US"/>
        </a:p>
      </c:txPr>
    </c:title>
    <c:autoTitleDeleted val="0"/>
    <c:plotArea>
      <c:layout/>
      <c:barChart>
        <c:barDir val="bar"/>
        <c:grouping val="clustered"/>
        <c:varyColors val="0"/>
        <c:ser>
          <c:idx val="0"/>
          <c:order val="0"/>
          <c:tx>
            <c:strRef>
              <c:f>Dashboard!$C$88</c:f>
              <c:strCache>
                <c:ptCount val="1"/>
                <c:pt idx="0">
                  <c:v>tCO₂e</c:v>
                </c:pt>
              </c:strCache>
            </c:strRef>
          </c:tx>
          <c:spPr>
            <a:solidFill>
              <a:srgbClr val="E07B39"/>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Dashboard!$B$89:$B$101</c:f>
              <c:strCache>
                <c:ptCount val="13"/>
                <c:pt idx="0">
                  <c:v>Cat 4 Upstream Transportation &amp; Distribution</c:v>
                </c:pt>
                <c:pt idx="1">
                  <c:v>Cat 2 Capital Goods</c:v>
                </c:pt>
                <c:pt idx="2">
                  <c:v>Cat 13 Downstream Leased Assets</c:v>
                </c:pt>
                <c:pt idx="3">
                  <c:v>Cat 8 Upstream Leased Assets</c:v>
                </c:pt>
                <c:pt idx="4">
                  <c:v>Cat 12 End-of-Life Treatment of Sold Products</c:v>
                </c:pt>
                <c:pt idx="5">
                  <c:v>Cat 9 Downstream Transportation &amp; Distribution</c:v>
                </c:pt>
                <c:pt idx="6">
                  <c:v>Cat 14 Franchises</c:v>
                </c:pt>
                <c:pt idx="7">
                  <c:v>Cat 3 Fuel- &amp; Energy-Related Activities</c:v>
                </c:pt>
                <c:pt idx="8">
                  <c:v>Cat 1 Purchased Goods &amp; Services</c:v>
                </c:pt>
                <c:pt idx="9">
                  <c:v>Cat 6 Business Travel</c:v>
                </c:pt>
                <c:pt idx="10">
                  <c:v>Cat 7 Employee Commuting</c:v>
                </c:pt>
                <c:pt idx="11">
                  <c:v>Cat 10 Processing of Sold Products</c:v>
                </c:pt>
                <c:pt idx="12">
                  <c:v>Cat 5 Waste Generated in Operations</c:v>
                </c:pt>
              </c:strCache>
            </c:strRef>
          </c:cat>
          <c:val>
            <c:numRef>
              <c:f>Dashboard!$C$89:$C$101</c:f>
              <c:numCache>
                <c:formatCode>#,##0.0</c:formatCode>
                <c:ptCount val="13"/>
                <c:pt idx="0">
                  <c:v>35714.793619999997</c:v>
                </c:pt>
                <c:pt idx="1">
                  <c:v>33680.858500000002</c:v>
                </c:pt>
                <c:pt idx="2">
                  <c:v>31572.195299999996</c:v>
                </c:pt>
                <c:pt idx="3">
                  <c:v>15628.310099999995</c:v>
                </c:pt>
                <c:pt idx="4">
                  <c:v>15163.004800000001</c:v>
                </c:pt>
                <c:pt idx="5">
                  <c:v>12124.429550000003</c:v>
                </c:pt>
                <c:pt idx="6">
                  <c:v>5984.2672000000002</c:v>
                </c:pt>
                <c:pt idx="7">
                  <c:v>1865.6268999999998</c:v>
                </c:pt>
                <c:pt idx="8">
                  <c:v>1819.5989999999997</c:v>
                </c:pt>
                <c:pt idx="9">
                  <c:v>144.65020999999999</c:v>
                </c:pt>
                <c:pt idx="10">
                  <c:v>128.19464999999997</c:v>
                </c:pt>
                <c:pt idx="11">
                  <c:v>66.266599999999997</c:v>
                </c:pt>
                <c:pt idx="12">
                  <c:v>0.98433000000000004</c:v>
                </c:pt>
              </c:numCache>
            </c:numRef>
          </c:val>
          <c:extLst>
            <c:ext xmlns:c16="http://schemas.microsoft.com/office/drawing/2014/chart" uri="{C3380CC4-5D6E-409C-BE32-E72D297353CC}">
              <c16:uniqueId val="{00000000-5C25-4623-86D7-789B5285B9D6}"/>
            </c:ext>
          </c:extLst>
        </c:ser>
        <c:dLbls>
          <c:showLegendKey val="0"/>
          <c:showVal val="0"/>
          <c:showCatName val="0"/>
          <c:showSerName val="0"/>
          <c:showPercent val="0"/>
          <c:showBubbleSize val="0"/>
        </c:dLbls>
        <c:gapWidth val="50"/>
        <c:axId val="754489760"/>
        <c:axId val="1878400784"/>
      </c:barChart>
      <c:catAx>
        <c:axId val="7544897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1878400784"/>
        <c:crosses val="autoZero"/>
        <c:auto val="1"/>
        <c:lblAlgn val="ctr"/>
        <c:lblOffset val="100"/>
        <c:noMultiLvlLbl val="0"/>
      </c:catAx>
      <c:valAx>
        <c:axId val="1878400784"/>
        <c:scaling>
          <c:orientation val="minMax"/>
        </c:scaling>
        <c:delete val="0"/>
        <c:axPos val="t"/>
        <c:majorGridlines>
          <c:spPr>
            <a:ln w="9525" cap="flat" cmpd="sng" algn="ctr">
              <a:solidFill>
                <a:srgbClr val="EEF2F7"/>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75448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0EB"/>
      </a:solidFill>
      <a:prstDash val="solid"/>
      <a:round/>
    </a:ln>
    <a:effectLst/>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r>
              <a:rPr lang="en-US"/>
              <a:t>Cat 15 – Emissions &amp; holdings by PCAF data-quality score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a:ea typeface="Calibri"/>
              <a:cs typeface="Calibri"/>
            </a:defRPr>
          </a:pPr>
          <a:endParaRPr lang="en-US"/>
        </a:p>
      </c:txPr>
    </c:title>
    <c:autoTitleDeleted val="0"/>
    <c:plotArea>
      <c:layout/>
      <c:barChart>
        <c:barDir val="col"/>
        <c:grouping val="clustered"/>
        <c:varyColors val="0"/>
        <c:ser>
          <c:idx val="0"/>
          <c:order val="0"/>
          <c:tx>
            <c:strRef>
              <c:f>Dashboard!$L$82</c:f>
              <c:strCache>
                <c:ptCount val="1"/>
                <c:pt idx="0">
                  <c:v>PCAF DQ score</c:v>
                </c:pt>
              </c:strCache>
            </c:strRef>
          </c:tx>
          <c:spPr>
            <a:solidFill>
              <a:schemeClr val="accent1"/>
            </a:solidFill>
            <a:ln>
              <a:noFill/>
            </a:ln>
            <a:effectLst/>
          </c:spPr>
          <c:invertIfNegative val="0"/>
          <c:val>
            <c:numRef>
              <c:f>Dashboard!$L$83:$L$87</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605F-465B-B0A6-762283AB4FE1}"/>
            </c:ext>
          </c:extLst>
        </c:ser>
        <c:ser>
          <c:idx val="1"/>
          <c:order val="1"/>
          <c:tx>
            <c:strRef>
              <c:f>Dashboard!$M$82</c:f>
              <c:strCache>
                <c:ptCount val="1"/>
                <c:pt idx="0">
                  <c:v># holdings</c:v>
                </c:pt>
              </c:strCache>
            </c:strRef>
          </c:tx>
          <c:spPr>
            <a:solidFill>
              <a:schemeClr val="accent2"/>
            </a:solidFill>
            <a:ln>
              <a:noFill/>
            </a:ln>
            <a:effectLst/>
          </c:spPr>
          <c:invertIfNegative val="0"/>
          <c:val>
            <c:numRef>
              <c:f>Dashboard!$M$83:$M$87</c:f>
              <c:numCache>
                <c:formatCode>General</c:formatCode>
                <c:ptCount val="5"/>
                <c:pt idx="0">
                  <c:v>23</c:v>
                </c:pt>
                <c:pt idx="1">
                  <c:v>20</c:v>
                </c:pt>
                <c:pt idx="2">
                  <c:v>18</c:v>
                </c:pt>
                <c:pt idx="3">
                  <c:v>22</c:v>
                </c:pt>
                <c:pt idx="4">
                  <c:v>17</c:v>
                </c:pt>
              </c:numCache>
            </c:numRef>
          </c:val>
          <c:extLst>
            <c:ext xmlns:c16="http://schemas.microsoft.com/office/drawing/2014/chart" uri="{C3380CC4-5D6E-409C-BE32-E72D297353CC}">
              <c16:uniqueId val="{00000001-605F-465B-B0A6-762283AB4FE1}"/>
            </c:ext>
          </c:extLst>
        </c:ser>
        <c:ser>
          <c:idx val="2"/>
          <c:order val="2"/>
          <c:tx>
            <c:strRef>
              <c:f>Dashboard!$N$82</c:f>
              <c:strCache>
                <c:ptCount val="1"/>
                <c:pt idx="0">
                  <c:v>tCO₂e</c:v>
                </c:pt>
              </c:strCache>
            </c:strRef>
          </c:tx>
          <c:spPr>
            <a:solidFill>
              <a:schemeClr val="accent3"/>
            </a:solidFill>
            <a:ln>
              <a:noFill/>
            </a:ln>
            <a:effectLst/>
          </c:spPr>
          <c:invertIfNegative val="0"/>
          <c:val>
            <c:numRef>
              <c:f>Dashboard!$N$83:$N$87</c:f>
              <c:numCache>
                <c:formatCode>#,##0</c:formatCode>
                <c:ptCount val="5"/>
                <c:pt idx="0">
                  <c:v>1675341.9499999997</c:v>
                </c:pt>
                <c:pt idx="1">
                  <c:v>1355682.0499999998</c:v>
                </c:pt>
                <c:pt idx="2">
                  <c:v>587766.23</c:v>
                </c:pt>
                <c:pt idx="3">
                  <c:v>840008.3899999999</c:v>
                </c:pt>
                <c:pt idx="4">
                  <c:v>1118799.33</c:v>
                </c:pt>
              </c:numCache>
            </c:numRef>
          </c:val>
          <c:extLst>
            <c:ext xmlns:c16="http://schemas.microsoft.com/office/drawing/2014/chart" uri="{C3380CC4-5D6E-409C-BE32-E72D297353CC}">
              <c16:uniqueId val="{00000002-605F-465B-B0A6-762283AB4FE1}"/>
            </c:ext>
          </c:extLst>
        </c:ser>
        <c:dLbls>
          <c:showLegendKey val="0"/>
          <c:showVal val="0"/>
          <c:showCatName val="0"/>
          <c:showSerName val="0"/>
          <c:showPercent val="0"/>
          <c:showBubbleSize val="0"/>
        </c:dLbls>
        <c:gapWidth val="219"/>
        <c:overlap val="-27"/>
        <c:axId val="754508784"/>
        <c:axId val="1878434384"/>
      </c:barChart>
      <c:catAx>
        <c:axId val="7545087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1878434384"/>
        <c:crosses val="autoZero"/>
        <c:auto val="1"/>
        <c:lblAlgn val="ctr"/>
        <c:lblOffset val="100"/>
        <c:noMultiLvlLbl val="0"/>
      </c:catAx>
      <c:valAx>
        <c:axId val="187843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75450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0EB"/>
      </a:solidFill>
      <a:prstDash val="solid"/>
      <a:round/>
    </a:ln>
    <a:effectLst/>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Scope 3 by category, FY2023 (tCO₂e, log scale)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2E75B6"/>
            </a:solidFill>
            <a:ln>
              <a:noFill/>
            </a:ln>
            <a:effectLst/>
          </c:spPr>
          <c:invertIfNegative val="0"/>
          <c:cat>
            <c:multiLvlStrRef>
              <c:f>'Exec Summary'!$B$6:$C$20</c:f>
              <c:multiLvlStrCache>
                <c:ptCount val="15"/>
                <c:lvl>
                  <c:pt idx="0">
                    <c:v>Downstream</c:v>
                  </c:pt>
                  <c:pt idx="1">
                    <c:v>Downstream</c:v>
                  </c:pt>
                  <c:pt idx="2">
                    <c:v>Upstream</c:v>
                  </c:pt>
                  <c:pt idx="3">
                    <c:v>Upstream</c:v>
                  </c:pt>
                  <c:pt idx="4">
                    <c:v>Downstream</c:v>
                  </c:pt>
                  <c:pt idx="5">
                    <c:v>Upstream</c:v>
                  </c:pt>
                  <c:pt idx="6">
                    <c:v>Downstream</c:v>
                  </c:pt>
                  <c:pt idx="7">
                    <c:v>Downstream</c:v>
                  </c:pt>
                  <c:pt idx="8">
                    <c:v>Downstream</c:v>
                  </c:pt>
                  <c:pt idx="9">
                    <c:v>Upstream</c:v>
                  </c:pt>
                  <c:pt idx="10">
                    <c:v>Upstream</c:v>
                  </c:pt>
                  <c:pt idx="11">
                    <c:v>Upstream</c:v>
                  </c:pt>
                  <c:pt idx="12">
                    <c:v>Upstream</c:v>
                  </c:pt>
                  <c:pt idx="13">
                    <c:v>Downstream</c:v>
                  </c:pt>
                  <c:pt idx="14">
                    <c:v>Upstream</c:v>
                  </c:pt>
                </c:lvl>
                <c:lvl>
                  <c:pt idx="0">
                    <c:v>Use of Sold Products</c:v>
                  </c:pt>
                  <c:pt idx="1">
                    <c:v>Investments</c:v>
                  </c:pt>
                  <c:pt idx="2">
                    <c:v>Upstream Transportation &amp; Distribution</c:v>
                  </c:pt>
                  <c:pt idx="3">
                    <c:v>Capital Goods</c:v>
                  </c:pt>
                  <c:pt idx="4">
                    <c:v>Downstream Leased Assets</c:v>
                  </c:pt>
                  <c:pt idx="5">
                    <c:v>Upstream Leased Assets</c:v>
                  </c:pt>
                  <c:pt idx="6">
                    <c:v>End-of-Life Treatment of Sold Products</c:v>
                  </c:pt>
                  <c:pt idx="7">
                    <c:v>Downstream Transportation &amp; Distribution</c:v>
                  </c:pt>
                  <c:pt idx="8">
                    <c:v>Franchises</c:v>
                  </c:pt>
                  <c:pt idx="9">
                    <c:v>Fuel- &amp; Energy-Related Activities</c:v>
                  </c:pt>
                  <c:pt idx="10">
                    <c:v>Purchased Goods &amp; Services</c:v>
                  </c:pt>
                  <c:pt idx="11">
                    <c:v>Business Travel</c:v>
                  </c:pt>
                  <c:pt idx="12">
                    <c:v>Employee Commuting</c:v>
                  </c:pt>
                  <c:pt idx="13">
                    <c:v>Processing of Sold Products</c:v>
                  </c:pt>
                  <c:pt idx="14">
                    <c:v>Waste Generated in Operations</c:v>
                  </c:pt>
                </c:lvl>
              </c:multiLvlStrCache>
            </c:multiLvlStrRef>
          </c:cat>
          <c:val>
            <c:numRef>
              <c:f>'Exec Summary'!$D$6:$D$20</c:f>
              <c:numCache>
                <c:formatCode>#,##0;\(#,##0\);\-</c:formatCode>
                <c:ptCount val="15"/>
                <c:pt idx="0">
                  <c:v>62357323.040000007</c:v>
                </c:pt>
                <c:pt idx="1">
                  <c:v>5577597.950000003</c:v>
                </c:pt>
                <c:pt idx="2">
                  <c:v>35714.793619999997</c:v>
                </c:pt>
                <c:pt idx="3">
                  <c:v>33680.858500000002</c:v>
                </c:pt>
                <c:pt idx="4">
                  <c:v>31572.195299999996</c:v>
                </c:pt>
                <c:pt idx="5">
                  <c:v>15628.310099999995</c:v>
                </c:pt>
                <c:pt idx="6">
                  <c:v>15163.004800000001</c:v>
                </c:pt>
                <c:pt idx="7">
                  <c:v>12124.429550000003</c:v>
                </c:pt>
                <c:pt idx="8">
                  <c:v>5984.2672000000002</c:v>
                </c:pt>
                <c:pt idx="9">
                  <c:v>1865.6268999999998</c:v>
                </c:pt>
                <c:pt idx="10">
                  <c:v>1819.5989999999997</c:v>
                </c:pt>
                <c:pt idx="11">
                  <c:v>144.65020999999999</c:v>
                </c:pt>
                <c:pt idx="12">
                  <c:v>128.19464999999997</c:v>
                </c:pt>
                <c:pt idx="13">
                  <c:v>66.266599999999997</c:v>
                </c:pt>
                <c:pt idx="14">
                  <c:v>0.98433000000000004</c:v>
                </c:pt>
              </c:numCache>
            </c:numRef>
          </c:val>
          <c:extLst>
            <c:ext xmlns:c16="http://schemas.microsoft.com/office/drawing/2014/chart" uri="{C3380CC4-5D6E-409C-BE32-E72D297353CC}">
              <c16:uniqueId val="{00000000-FA5E-4867-8D69-380301673A47}"/>
            </c:ext>
          </c:extLst>
        </c:ser>
        <c:dLbls>
          <c:showLegendKey val="0"/>
          <c:showVal val="0"/>
          <c:showCatName val="0"/>
          <c:showSerName val="0"/>
          <c:showPercent val="0"/>
          <c:showBubbleSize val="0"/>
        </c:dLbls>
        <c:gapWidth val="182"/>
        <c:axId val="1270760047"/>
        <c:axId val="1212784975"/>
      </c:barChart>
      <c:catAx>
        <c:axId val="12707600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784975"/>
        <c:crosses val="autoZero"/>
        <c:auto val="1"/>
        <c:lblAlgn val="ctr"/>
        <c:lblOffset val="100"/>
        <c:noMultiLvlLbl val="0"/>
      </c:catAx>
      <c:valAx>
        <c:axId val="1212784975"/>
        <c:scaling>
          <c:logBase val="10"/>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tCO₂e (log)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76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0</xdr:colOff>
      <xdr:row>9</xdr:row>
      <xdr:rowOff>0</xdr:rowOff>
    </xdr:from>
    <xdr:to>
      <xdr:col>13</xdr:col>
      <xdr:colOff>0</xdr:colOff>
      <xdr:row>26</xdr:row>
      <xdr:rowOff>0</xdr:rowOff>
    </xdr:to>
    <xdr:graphicFrame macro="">
      <xdr:nvGraphicFramePr>
        <xdr:cNvPr id="2" name="Chart 1">
          <a:extLst>
            <a:ext uri="{FF2B5EF4-FFF2-40B4-BE49-F238E27FC236}">
              <a16:creationId xmlns:a16="http://schemas.microsoft.com/office/drawing/2014/main" id="{45FF76C4-1C78-FA7C-2A8D-1569009DF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7</xdr:col>
      <xdr:colOff>0</xdr:colOff>
      <xdr:row>46</xdr:row>
      <xdr:rowOff>0</xdr:rowOff>
    </xdr:to>
    <xdr:graphicFrame macro="">
      <xdr:nvGraphicFramePr>
        <xdr:cNvPr id="3" name="Chart 2">
          <a:extLst>
            <a:ext uri="{FF2B5EF4-FFF2-40B4-BE49-F238E27FC236}">
              <a16:creationId xmlns:a16="http://schemas.microsoft.com/office/drawing/2014/main" id="{1929748F-D9E0-A668-8CFC-AC166A4F0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28</xdr:row>
      <xdr:rowOff>0</xdr:rowOff>
    </xdr:from>
    <xdr:to>
      <xdr:col>13</xdr:col>
      <xdr:colOff>0</xdr:colOff>
      <xdr:row>46</xdr:row>
      <xdr:rowOff>0</xdr:rowOff>
    </xdr:to>
    <xdr:graphicFrame macro="">
      <xdr:nvGraphicFramePr>
        <xdr:cNvPr id="4" name="Chart 3">
          <a:extLst>
            <a:ext uri="{FF2B5EF4-FFF2-40B4-BE49-F238E27FC236}">
              <a16:creationId xmlns:a16="http://schemas.microsoft.com/office/drawing/2014/main" id="{2511BB47-D48F-220C-B90F-B65924E93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47</xdr:row>
      <xdr:rowOff>0</xdr:rowOff>
    </xdr:from>
    <xdr:to>
      <xdr:col>7</xdr:col>
      <xdr:colOff>0</xdr:colOff>
      <xdr:row>66</xdr:row>
      <xdr:rowOff>0</xdr:rowOff>
    </xdr:to>
    <xdr:graphicFrame macro="">
      <xdr:nvGraphicFramePr>
        <xdr:cNvPr id="5" name="Chart 4">
          <a:extLst>
            <a:ext uri="{FF2B5EF4-FFF2-40B4-BE49-F238E27FC236}">
              <a16:creationId xmlns:a16="http://schemas.microsoft.com/office/drawing/2014/main" id="{288C271B-0248-CF56-5DCD-3E39A59E6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47</xdr:row>
      <xdr:rowOff>0</xdr:rowOff>
    </xdr:from>
    <xdr:to>
      <xdr:col>13</xdr:col>
      <xdr:colOff>0</xdr:colOff>
      <xdr:row>66</xdr:row>
      <xdr:rowOff>0</xdr:rowOff>
    </xdr:to>
    <xdr:graphicFrame macro="">
      <xdr:nvGraphicFramePr>
        <xdr:cNvPr id="6" name="Chart 5">
          <a:extLst>
            <a:ext uri="{FF2B5EF4-FFF2-40B4-BE49-F238E27FC236}">
              <a16:creationId xmlns:a16="http://schemas.microsoft.com/office/drawing/2014/main" id="{99C8B90A-1189-61FD-7D1D-6F81B1E06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314326</xdr:colOff>
      <xdr:row>7</xdr:row>
      <xdr:rowOff>85725</xdr:rowOff>
    </xdr:from>
    <xdr:to>
      <xdr:col>19</xdr:col>
      <xdr:colOff>104776</xdr:colOff>
      <xdr:row>33</xdr:row>
      <xdr:rowOff>76200</xdr:rowOff>
    </xdr:to>
    <xdr:graphicFrame macro="">
      <xdr:nvGraphicFramePr>
        <xdr:cNvPr id="2" name="Cat Ranking">
          <a:extLst>
            <a:ext uri="{FF2B5EF4-FFF2-40B4-BE49-F238E27FC236}">
              <a16:creationId xmlns:a16="http://schemas.microsoft.com/office/drawing/2014/main" id="{9CD4A764-820D-206D-BA6B-2956746A7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99"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21D9E3-1930-467E-A610-26EFDB9ACCFA}">
  <we:reference id="11d7cf85-ae5a-43b8-bc58-1e1a151cce24" version="1.0.0.1" store="EXCatalog" storeType="EXCatalog"/>
  <we:alternateReferences>
    <we:reference id="WA200010725" version="1.0.0.1" store="en-US" storeType="OMEX"/>
  </we:alternateReferences>
  <we:properties>
    <we:property name="claude.fileId" value="&quot;d13542fc-b7db-4193-9728-eff8b99cfec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75E0-2673-40DA-BE5A-F4B5DFBEEF68}">
  <dimension ref="A2:N101"/>
  <sheetViews>
    <sheetView showGridLines="0" tabSelected="1" workbookViewId="0">
      <selection activeCell="D6" sqref="D6:E6"/>
    </sheetView>
  </sheetViews>
  <sheetFormatPr defaultRowHeight="15" x14ac:dyDescent="0.25"/>
  <cols>
    <col min="1" max="1" width="2.28515625" style="32" customWidth="1"/>
    <col min="2" max="13" width="15.28515625" style="32" customWidth="1"/>
    <col min="14" max="14" width="2.28515625" style="32" customWidth="1"/>
  </cols>
  <sheetData>
    <row r="2" spans="2:13" ht="33.950000000000003" customHeight="1" x14ac:dyDescent="0.4">
      <c r="B2" s="34" t="s">
        <v>2123</v>
      </c>
      <c r="C2" s="33"/>
      <c r="D2" s="33"/>
      <c r="E2" s="33"/>
      <c r="F2" s="33"/>
      <c r="G2" s="33"/>
      <c r="H2" s="33"/>
      <c r="I2" s="33"/>
      <c r="J2" s="33"/>
      <c r="K2" s="33"/>
      <c r="L2" s="33"/>
      <c r="M2" s="33"/>
    </row>
    <row r="3" spans="2:13" ht="18" customHeight="1" x14ac:dyDescent="0.25">
      <c r="B3" s="35" t="s">
        <v>2124</v>
      </c>
      <c r="C3" s="33"/>
      <c r="D3" s="33"/>
      <c r="E3" s="33"/>
      <c r="F3" s="33"/>
      <c r="G3" s="33"/>
      <c r="H3" s="33"/>
      <c r="I3" s="33"/>
      <c r="J3" s="33"/>
      <c r="K3" s="33"/>
      <c r="L3" s="33"/>
      <c r="M3" s="33"/>
    </row>
    <row r="4" spans="2:13" ht="9.9499999999999993" customHeight="1" thickBot="1" x14ac:dyDescent="0.3"/>
    <row r="5" spans="2:13" ht="20.100000000000001" customHeight="1" thickTop="1" x14ac:dyDescent="0.25">
      <c r="B5" s="36" t="s">
        <v>2125</v>
      </c>
      <c r="C5" s="41"/>
      <c r="D5" s="36" t="s">
        <v>2127</v>
      </c>
      <c r="E5" s="41"/>
      <c r="F5" s="36" t="s">
        <v>2129</v>
      </c>
      <c r="G5" s="41"/>
      <c r="H5" s="36" t="s">
        <v>2131</v>
      </c>
      <c r="I5" s="41"/>
      <c r="J5" s="36" t="s">
        <v>2133</v>
      </c>
      <c r="K5" s="41"/>
      <c r="L5" s="36" t="s">
        <v>2135</v>
      </c>
      <c r="M5" s="37"/>
    </row>
    <row r="6" spans="2:13" ht="36" customHeight="1" x14ac:dyDescent="0.25">
      <c r="B6" s="38">
        <f>'Exec Summary'!D21/1000000</f>
        <v>68.088814170760017</v>
      </c>
      <c r="C6" s="42"/>
      <c r="D6" s="43">
        <f>'Exec Summary'!E30</f>
        <v>0.99869313310279062</v>
      </c>
      <c r="E6" s="42"/>
      <c r="F6" s="43">
        <f>'Exec Summary'!E31</f>
        <v>1.3068668972092742E-3</v>
      </c>
      <c r="G6" s="42"/>
      <c r="H6" s="43">
        <f>'Exec Summary'!E39</f>
        <v>0.99773981699293424</v>
      </c>
      <c r="I6" s="42"/>
      <c r="J6" s="43">
        <f>'Exec Summary'!E25</f>
        <v>0.87660592573763552</v>
      </c>
      <c r="K6" s="42"/>
      <c r="L6" s="44">
        <f>'Exec Summary'!E38</f>
        <v>0.39</v>
      </c>
      <c r="M6" s="39"/>
    </row>
    <row r="7" spans="2:13" ht="15.95" customHeight="1" x14ac:dyDescent="0.25">
      <c r="B7" s="40" t="s">
        <v>2126</v>
      </c>
      <c r="C7" s="42"/>
      <c r="D7" s="40" t="s">
        <v>2128</v>
      </c>
      <c r="E7" s="42"/>
      <c r="F7" s="40" t="s">
        <v>2130</v>
      </c>
      <c r="G7" s="42"/>
      <c r="H7" s="40" t="s">
        <v>2132</v>
      </c>
      <c r="I7" s="42"/>
      <c r="J7" s="40" t="s">
        <v>2134</v>
      </c>
      <c r="K7" s="42"/>
      <c r="L7" s="40" t="s">
        <v>2136</v>
      </c>
      <c r="M7" s="39"/>
    </row>
    <row r="9" spans="2:13" ht="16.5" thickBot="1" x14ac:dyDescent="0.3">
      <c r="B9" s="46" t="s">
        <v>2137</v>
      </c>
      <c r="C9" s="47"/>
      <c r="D9" s="47"/>
      <c r="E9" s="47"/>
      <c r="F9" s="47"/>
      <c r="G9" s="47"/>
      <c r="H9" s="47"/>
      <c r="J9" s="46" t="s">
        <v>2140</v>
      </c>
      <c r="K9" s="47"/>
      <c r="L9" s="47"/>
      <c r="M9" s="47"/>
    </row>
    <row r="10" spans="2:13" x14ac:dyDescent="0.25">
      <c r="B10" s="48" t="s">
        <v>1946</v>
      </c>
      <c r="C10" s="49" t="s">
        <v>2065</v>
      </c>
      <c r="D10" s="49"/>
      <c r="E10" s="49"/>
      <c r="F10" s="48" t="s">
        <v>2138</v>
      </c>
      <c r="G10" s="63" t="s">
        <v>2088</v>
      </c>
      <c r="H10" s="63" t="s">
        <v>2067</v>
      </c>
    </row>
    <row r="11" spans="2:13" ht="17.100000000000001" customHeight="1" x14ac:dyDescent="0.25">
      <c r="B11" s="54">
        <f>'Exec Summary'!A6</f>
        <v>11</v>
      </c>
      <c r="C11" s="50" t="str">
        <f>'Exec Summary'!B6</f>
        <v>Use of Sold Products</v>
      </c>
      <c r="D11" s="50"/>
      <c r="E11" s="50"/>
      <c r="F11" s="54" t="str">
        <f>'Exec Summary'!C6</f>
        <v>Downstream</v>
      </c>
      <c r="G11" s="57">
        <f>'Exec Summary'!D6</f>
        <v>62357323.040000007</v>
      </c>
      <c r="H11" s="60">
        <f>'Exec Summary'!E6</f>
        <v>0.91582330812244728</v>
      </c>
    </row>
    <row r="12" spans="2:13" ht="17.100000000000001" customHeight="1" x14ac:dyDescent="0.25">
      <c r="B12" s="55">
        <f>'Exec Summary'!A7</f>
        <v>15</v>
      </c>
      <c r="C12" s="51" t="str">
        <f>'Exec Summary'!B7</f>
        <v>Investments</v>
      </c>
      <c r="D12" s="51"/>
      <c r="E12" s="51"/>
      <c r="F12" s="55" t="str">
        <f>'Exec Summary'!C7</f>
        <v>Downstream</v>
      </c>
      <c r="G12" s="58">
        <f>'Exec Summary'!D7</f>
        <v>5577597.950000003</v>
      </c>
      <c r="H12" s="61">
        <f>'Exec Summary'!E7</f>
        <v>8.1916508870486987E-2</v>
      </c>
    </row>
    <row r="13" spans="2:13" ht="17.100000000000001" customHeight="1" x14ac:dyDescent="0.25">
      <c r="B13" s="54">
        <f>'Exec Summary'!A8</f>
        <v>4</v>
      </c>
      <c r="C13" s="50" t="str">
        <f>'Exec Summary'!B8</f>
        <v>Upstream Transportation &amp; Distribution</v>
      </c>
      <c r="D13" s="50"/>
      <c r="E13" s="50"/>
      <c r="F13" s="54" t="str">
        <f>'Exec Summary'!C8</f>
        <v>Upstream</v>
      </c>
      <c r="G13" s="57">
        <f>'Exec Summary'!D8</f>
        <v>35714.793619999997</v>
      </c>
      <c r="H13" s="60">
        <f>'Exec Summary'!E8</f>
        <v>5.2453246623492108E-4</v>
      </c>
    </row>
    <row r="14" spans="2:13" ht="17.100000000000001" customHeight="1" x14ac:dyDescent="0.25">
      <c r="B14" s="55">
        <f>'Exec Summary'!A9</f>
        <v>2</v>
      </c>
      <c r="C14" s="51" t="str">
        <f>'Exec Summary'!B9</f>
        <v>Capital Goods</v>
      </c>
      <c r="D14" s="51"/>
      <c r="E14" s="51"/>
      <c r="F14" s="55" t="str">
        <f>'Exec Summary'!C9</f>
        <v>Upstream</v>
      </c>
      <c r="G14" s="58">
        <f>'Exec Summary'!D9</f>
        <v>33680.858500000002</v>
      </c>
      <c r="H14" s="61">
        <f>'Exec Summary'!E9</f>
        <v>4.9466067092212435E-4</v>
      </c>
    </row>
    <row r="15" spans="2:13" ht="17.100000000000001" customHeight="1" x14ac:dyDescent="0.25">
      <c r="B15" s="54">
        <f>'Exec Summary'!A10</f>
        <v>13</v>
      </c>
      <c r="C15" s="50" t="str">
        <f>'Exec Summary'!B10</f>
        <v>Downstream Leased Assets</v>
      </c>
      <c r="D15" s="50"/>
      <c r="E15" s="50"/>
      <c r="F15" s="54" t="str">
        <f>'Exec Summary'!C10</f>
        <v>Downstream</v>
      </c>
      <c r="G15" s="57">
        <f>'Exec Summary'!D10</f>
        <v>31572.195299999996</v>
      </c>
      <c r="H15" s="60">
        <f>'Exec Summary'!E10</f>
        <v>4.6369136670261355E-4</v>
      </c>
    </row>
    <row r="16" spans="2:13" ht="17.100000000000001" customHeight="1" x14ac:dyDescent="0.25">
      <c r="B16" s="55">
        <f>'Exec Summary'!A11</f>
        <v>8</v>
      </c>
      <c r="C16" s="51" t="str">
        <f>'Exec Summary'!B11</f>
        <v>Upstream Leased Assets</v>
      </c>
      <c r="D16" s="51"/>
      <c r="E16" s="51"/>
      <c r="F16" s="55" t="str">
        <f>'Exec Summary'!C11</f>
        <v>Upstream</v>
      </c>
      <c r="G16" s="58">
        <f>'Exec Summary'!D11</f>
        <v>15628.310099999995</v>
      </c>
      <c r="H16" s="61">
        <f>'Exec Summary'!E11</f>
        <v>2.2952830491078515E-4</v>
      </c>
    </row>
    <row r="17" spans="2:13" ht="17.100000000000001" customHeight="1" x14ac:dyDescent="0.25">
      <c r="B17" s="54">
        <f>'Exec Summary'!A12</f>
        <v>12</v>
      </c>
      <c r="C17" s="50" t="str">
        <f>'Exec Summary'!B12</f>
        <v>End-of-Life Treatment of Sold Products</v>
      </c>
      <c r="D17" s="50"/>
      <c r="E17" s="50"/>
      <c r="F17" s="54" t="str">
        <f>'Exec Summary'!C12</f>
        <v>Downstream</v>
      </c>
      <c r="G17" s="57">
        <f>'Exec Summary'!D12</f>
        <v>15163.004800000001</v>
      </c>
      <c r="H17" s="60">
        <f>'Exec Summary'!E12</f>
        <v>2.2269450547299417E-4</v>
      </c>
    </row>
    <row r="18" spans="2:13" ht="17.100000000000001" customHeight="1" x14ac:dyDescent="0.25">
      <c r="B18" s="55">
        <f>'Exec Summary'!A13</f>
        <v>9</v>
      </c>
      <c r="C18" s="51" t="str">
        <f>'Exec Summary'!B13</f>
        <v>Downstream Transportation &amp; Distribution</v>
      </c>
      <c r="D18" s="51"/>
      <c r="E18" s="51"/>
      <c r="F18" s="55" t="str">
        <f>'Exec Summary'!C13</f>
        <v>Downstream</v>
      </c>
      <c r="G18" s="58">
        <f>'Exec Summary'!D13</f>
        <v>12124.429550000003</v>
      </c>
      <c r="H18" s="61">
        <f>'Exec Summary'!E13</f>
        <v>1.7806786177231888E-4</v>
      </c>
    </row>
    <row r="19" spans="2:13" ht="17.100000000000001" customHeight="1" x14ac:dyDescent="0.25">
      <c r="B19" s="54">
        <f>'Exec Summary'!A14</f>
        <v>14</v>
      </c>
      <c r="C19" s="50" t="str">
        <f>'Exec Summary'!B14</f>
        <v>Franchises</v>
      </c>
      <c r="D19" s="50"/>
      <c r="E19" s="50"/>
      <c r="F19" s="54" t="str">
        <f>'Exec Summary'!C14</f>
        <v>Downstream</v>
      </c>
      <c r="G19" s="57">
        <f>'Exec Summary'!D14</f>
        <v>5984.2672000000002</v>
      </c>
      <c r="H19" s="60">
        <f>'Exec Summary'!E14</f>
        <v>8.788913822161815E-5</v>
      </c>
    </row>
    <row r="20" spans="2:13" ht="17.100000000000001" customHeight="1" x14ac:dyDescent="0.25">
      <c r="B20" s="55">
        <f>'Exec Summary'!A15</f>
        <v>3</v>
      </c>
      <c r="C20" s="51" t="str">
        <f>'Exec Summary'!B15</f>
        <v>Fuel- &amp; Energy-Related Activities</v>
      </c>
      <c r="D20" s="51"/>
      <c r="E20" s="51"/>
      <c r="F20" s="55" t="str">
        <f>'Exec Summary'!C15</f>
        <v>Upstream</v>
      </c>
      <c r="G20" s="58">
        <f>'Exec Summary'!D15</f>
        <v>1865.6268999999998</v>
      </c>
      <c r="H20" s="61">
        <f>'Exec Summary'!E15</f>
        <v>2.7399902946190131E-5</v>
      </c>
    </row>
    <row r="21" spans="2:13" ht="17.100000000000001" customHeight="1" x14ac:dyDescent="0.25">
      <c r="B21" s="54">
        <f>'Exec Summary'!A16</f>
        <v>1</v>
      </c>
      <c r="C21" s="50" t="str">
        <f>'Exec Summary'!B16</f>
        <v>Purchased Goods &amp; Services</v>
      </c>
      <c r="D21" s="50"/>
      <c r="E21" s="50"/>
      <c r="F21" s="54" t="str">
        <f>'Exec Summary'!C16</f>
        <v>Upstream</v>
      </c>
      <c r="G21" s="57">
        <f>'Exec Summary'!D16</f>
        <v>1819.5989999999997</v>
      </c>
      <c r="H21" s="60">
        <f>'Exec Summary'!E16</f>
        <v>2.6723904978527387E-5</v>
      </c>
    </row>
    <row r="22" spans="2:13" ht="17.100000000000001" customHeight="1" x14ac:dyDescent="0.25">
      <c r="B22" s="55">
        <f>'Exec Summary'!A17</f>
        <v>6</v>
      </c>
      <c r="C22" s="51" t="str">
        <f>'Exec Summary'!B17</f>
        <v>Business Travel</v>
      </c>
      <c r="D22" s="51"/>
      <c r="E22" s="51"/>
      <c r="F22" s="55" t="str">
        <f>'Exec Summary'!C17</f>
        <v>Upstream</v>
      </c>
      <c r="G22" s="58">
        <f>'Exec Summary'!D17</f>
        <v>144.65020999999999</v>
      </c>
      <c r="H22" s="61">
        <f>'Exec Summary'!E17</f>
        <v>2.1244342666510765E-6</v>
      </c>
    </row>
    <row r="23" spans="2:13" ht="17.100000000000001" customHeight="1" x14ac:dyDescent="0.25">
      <c r="B23" s="54">
        <f>'Exec Summary'!A18</f>
        <v>7</v>
      </c>
      <c r="C23" s="50" t="str">
        <f>'Exec Summary'!B18</f>
        <v>Employee Commuting</v>
      </c>
      <c r="D23" s="50"/>
      <c r="E23" s="50"/>
      <c r="F23" s="54" t="str">
        <f>'Exec Summary'!C18</f>
        <v>Upstream</v>
      </c>
      <c r="G23" s="57">
        <f>'Exec Summary'!D18</f>
        <v>128.19464999999997</v>
      </c>
      <c r="H23" s="60">
        <f>'Exec Summary'!E18</f>
        <v>1.8827563904770091E-6</v>
      </c>
    </row>
    <row r="24" spans="2:13" ht="17.100000000000001" customHeight="1" x14ac:dyDescent="0.25">
      <c r="B24" s="55">
        <f>'Exec Summary'!A19</f>
        <v>10</v>
      </c>
      <c r="C24" s="51" t="str">
        <f>'Exec Summary'!B19</f>
        <v>Processing of Sold Products</v>
      </c>
      <c r="D24" s="51"/>
      <c r="E24" s="51"/>
      <c r="F24" s="55" t="str">
        <f>'Exec Summary'!C19</f>
        <v>Downstream</v>
      </c>
      <c r="G24" s="58">
        <f>'Exec Summary'!D19</f>
        <v>66.266599999999997</v>
      </c>
      <c r="H24" s="61">
        <f>'Exec Summary'!E19</f>
        <v>9.7323768679257526E-7</v>
      </c>
    </row>
    <row r="25" spans="2:13" ht="17.100000000000001" customHeight="1" x14ac:dyDescent="0.25">
      <c r="B25" s="54">
        <f>'Exec Summary'!A20</f>
        <v>5</v>
      </c>
      <c r="C25" s="50" t="str">
        <f>'Exec Summary'!B20</f>
        <v>Waste Generated in Operations</v>
      </c>
      <c r="D25" s="50"/>
      <c r="E25" s="50"/>
      <c r="F25" s="54" t="str">
        <f>'Exec Summary'!C20</f>
        <v>Upstream</v>
      </c>
      <c r="G25" s="57">
        <f>'Exec Summary'!D20</f>
        <v>0.98433000000000004</v>
      </c>
      <c r="H25" s="60">
        <f>'Exec Summary'!E20</f>
        <v>1.4456559597754157E-8</v>
      </c>
    </row>
    <row r="26" spans="2:13" ht="17.100000000000001" customHeight="1" x14ac:dyDescent="0.25">
      <c r="B26" s="56" t="s">
        <v>2084</v>
      </c>
      <c r="C26" s="53" t="s">
        <v>2085</v>
      </c>
      <c r="D26" s="53"/>
      <c r="E26" s="53"/>
      <c r="F26" s="52"/>
      <c r="G26" s="59">
        <f>SUM(G11:G25)</f>
        <v>68088814.170760021</v>
      </c>
      <c r="H26" s="62">
        <f>SUM(H11:H25)</f>
        <v>0.99999999999999978</v>
      </c>
    </row>
    <row r="28" spans="2:13" ht="16.5" thickBot="1" x14ac:dyDescent="0.3">
      <c r="B28" s="46" t="s">
        <v>2158</v>
      </c>
      <c r="C28" s="47"/>
      <c r="D28" s="47"/>
      <c r="E28" s="47"/>
      <c r="F28" s="47"/>
      <c r="G28" s="47"/>
      <c r="H28" s="47"/>
      <c r="I28" s="47"/>
      <c r="J28" s="47"/>
      <c r="K28" s="47"/>
      <c r="L28" s="47"/>
      <c r="M28" s="47"/>
    </row>
    <row r="47" spans="2:13" ht="16.5" thickBot="1" x14ac:dyDescent="0.3">
      <c r="B47" s="46" t="s">
        <v>2159</v>
      </c>
      <c r="C47" s="47"/>
      <c r="D47" s="47"/>
      <c r="E47" s="47"/>
      <c r="F47" s="47"/>
      <c r="G47" s="47"/>
      <c r="H47" s="47"/>
      <c r="I47" s="47"/>
      <c r="J47" s="47"/>
      <c r="K47" s="47"/>
      <c r="L47" s="47"/>
      <c r="M47" s="47"/>
    </row>
    <row r="80" spans="2:2" ht="15.75" x14ac:dyDescent="0.25">
      <c r="B80" s="45" t="s">
        <v>2139</v>
      </c>
    </row>
    <row r="81" spans="2:14" x14ac:dyDescent="0.25">
      <c r="B81" s="64"/>
      <c r="C81" s="64"/>
      <c r="D81" s="64"/>
      <c r="E81" s="64"/>
      <c r="F81" s="64"/>
      <c r="G81" s="64"/>
      <c r="H81" s="64"/>
      <c r="I81" s="64"/>
      <c r="J81" s="64"/>
      <c r="K81" s="64"/>
      <c r="L81" s="64"/>
      <c r="M81" s="64"/>
      <c r="N81" s="64"/>
    </row>
    <row r="82" spans="2:14" x14ac:dyDescent="0.25">
      <c r="B82" s="65" t="s">
        <v>2140</v>
      </c>
      <c r="C82" s="65" t="s">
        <v>2088</v>
      </c>
      <c r="D82" s="64"/>
      <c r="E82" s="65" t="s">
        <v>2144</v>
      </c>
      <c r="F82" s="65" t="s">
        <v>2145</v>
      </c>
      <c r="G82" s="65" t="s">
        <v>2088</v>
      </c>
      <c r="H82" s="64"/>
      <c r="I82" s="65" t="s">
        <v>1882</v>
      </c>
      <c r="J82" s="65" t="s">
        <v>2088</v>
      </c>
      <c r="K82" s="64"/>
      <c r="L82" s="65" t="s">
        <v>2156</v>
      </c>
      <c r="M82" s="65" t="s">
        <v>2157</v>
      </c>
      <c r="N82" s="65" t="s">
        <v>2088</v>
      </c>
    </row>
    <row r="83" spans="2:14" x14ac:dyDescent="0.25">
      <c r="B83" s="64" t="s">
        <v>2141</v>
      </c>
      <c r="C83" s="67">
        <f>G11</f>
        <v>62357323.040000007</v>
      </c>
      <c r="D83" s="64"/>
      <c r="E83" s="64" t="s">
        <v>1362</v>
      </c>
      <c r="F83" s="64" t="s">
        <v>2146</v>
      </c>
      <c r="G83" s="67">
        <f>SUMIF('Cat 11 – Use of Sold Products'!$C$4:$C$103,E83,'Cat 11 – Use of Sold Products'!$Q$4:$Q$103)</f>
        <v>41921162.299999997</v>
      </c>
      <c r="H83" s="64"/>
      <c r="I83" s="64" t="s">
        <v>71</v>
      </c>
      <c r="J83" s="67">
        <f>SUMIF('Cat 15 – Investments'!$F$4:$F$103,I83,'Cat 15 – Investments'!$N$4:$N$103)</f>
        <v>1029381.4</v>
      </c>
      <c r="K83" s="64"/>
      <c r="L83" s="64">
        <v>1</v>
      </c>
      <c r="M83" s="64">
        <f>COUNTIF('Cat 15 – Investments'!$Q$4:$Q$103,L83)</f>
        <v>23</v>
      </c>
      <c r="N83" s="67">
        <f>SUMIF('Cat 15 – Investments'!$Q$4:$Q$103,L83,'Cat 15 – Investments'!$N$4:$N$103)</f>
        <v>1675341.9499999997</v>
      </c>
    </row>
    <row r="84" spans="2:14" x14ac:dyDescent="0.25">
      <c r="B84" s="64" t="s">
        <v>2142</v>
      </c>
      <c r="C84" s="67">
        <f>G12</f>
        <v>5577597.950000003</v>
      </c>
      <c r="D84" s="64"/>
      <c r="E84" s="64" t="s">
        <v>1370</v>
      </c>
      <c r="F84" s="64" t="s">
        <v>2148</v>
      </c>
      <c r="G84" s="67">
        <f>SUMIF('Cat 11 – Use of Sold Products'!$C$4:$C$103,E84,'Cat 11 – Use of Sold Products'!$Q$4:$Q$103)</f>
        <v>6714916.3099999996</v>
      </c>
      <c r="H84" s="64"/>
      <c r="I84" s="64" t="s">
        <v>1896</v>
      </c>
      <c r="J84" s="67">
        <f>SUMIF('Cat 15 – Investments'!$F$4:$F$103,I84,'Cat 15 – Investments'!$N$4:$N$103)</f>
        <v>725034.70000000007</v>
      </c>
      <c r="K84" s="64"/>
      <c r="L84" s="64">
        <v>2</v>
      </c>
      <c r="M84" s="64">
        <f>COUNTIF('Cat 15 – Investments'!$Q$4:$Q$103,L84)</f>
        <v>20</v>
      </c>
      <c r="N84" s="67">
        <f>SUMIF('Cat 15 – Investments'!$Q$4:$Q$103,L84,'Cat 15 – Investments'!$N$4:$N$103)</f>
        <v>1355682.0499999998</v>
      </c>
    </row>
    <row r="85" spans="2:14" x14ac:dyDescent="0.25">
      <c r="B85" s="64" t="s">
        <v>2143</v>
      </c>
      <c r="C85" s="67">
        <f>G26-G11-G12</f>
        <v>153893.18076001108</v>
      </c>
      <c r="D85" s="64"/>
      <c r="E85" s="64" t="s">
        <v>525</v>
      </c>
      <c r="F85" s="64" t="s">
        <v>2147</v>
      </c>
      <c r="G85" s="67">
        <f>SUMIF('Cat 11 – Use of Sold Products'!$C$4:$C$103,E85,'Cat 11 – Use of Sold Products'!$Q$4:$Q$103)</f>
        <v>6026720.2799999993</v>
      </c>
      <c r="H85" s="64"/>
      <c r="I85" s="64" t="s">
        <v>1308</v>
      </c>
      <c r="J85" s="67">
        <f>SUMIF('Cat 15 – Investments'!$F$4:$F$103,I85,'Cat 15 – Investments'!$N$4:$N$103)</f>
        <v>480242.69000000006</v>
      </c>
      <c r="K85" s="64"/>
      <c r="L85" s="64">
        <v>3</v>
      </c>
      <c r="M85" s="64">
        <f>COUNTIF('Cat 15 – Investments'!$Q$4:$Q$103,L85)</f>
        <v>18</v>
      </c>
      <c r="N85" s="67">
        <f>SUMIF('Cat 15 – Investments'!$Q$4:$Q$103,L85,'Cat 15 – Investments'!$N$4:$N$103)</f>
        <v>587766.23</v>
      </c>
    </row>
    <row r="86" spans="2:14" x14ac:dyDescent="0.25">
      <c r="B86" s="64"/>
      <c r="C86" s="64"/>
      <c r="D86" s="64"/>
      <c r="E86" s="64" t="s">
        <v>503</v>
      </c>
      <c r="F86" s="64" t="s">
        <v>2150</v>
      </c>
      <c r="G86" s="67">
        <f>SUMIF('Cat 11 – Use of Sold Products'!$C$4:$C$103,E86,'Cat 11 – Use of Sold Products'!$Q$4:$Q$103)</f>
        <v>3072232.03</v>
      </c>
      <c r="H86" s="64"/>
      <c r="I86" s="64" t="s">
        <v>1919</v>
      </c>
      <c r="J86" s="67">
        <f>SUMIF('Cat 15 – Investments'!$F$4:$F$103,I86,'Cat 15 – Investments'!$N$4:$N$103)</f>
        <v>474374.47</v>
      </c>
      <c r="K86" s="64"/>
      <c r="L86" s="64">
        <v>4</v>
      </c>
      <c r="M86" s="64">
        <f>COUNTIF('Cat 15 – Investments'!$Q$4:$Q$103,L86)</f>
        <v>22</v>
      </c>
      <c r="N86" s="67">
        <f>SUMIF('Cat 15 – Investments'!$Q$4:$Q$103,L86,'Cat 15 – Investments'!$N$4:$N$103)</f>
        <v>840008.3899999999</v>
      </c>
    </row>
    <row r="87" spans="2:14" x14ac:dyDescent="0.25">
      <c r="B87" s="66" t="s">
        <v>2143</v>
      </c>
      <c r="C87" s="64"/>
      <c r="D87" s="64"/>
      <c r="E87" s="64" t="s">
        <v>560</v>
      </c>
      <c r="F87" s="64" t="s">
        <v>2151</v>
      </c>
      <c r="G87" s="67">
        <f>SUMIF('Cat 11 – Use of Sold Products'!$C$4:$C$103,E87,'Cat 11 – Use of Sold Products'!$Q$4:$Q$103)</f>
        <v>1800636.5</v>
      </c>
      <c r="H87" s="64"/>
      <c r="I87" s="64" t="s">
        <v>1937</v>
      </c>
      <c r="J87" s="67">
        <f>SUMIF('Cat 15 – Investments'!$F$4:$F$103,I87,'Cat 15 – Investments'!$N$4:$N$103)</f>
        <v>462477.72000000003</v>
      </c>
      <c r="K87" s="64"/>
      <c r="L87" s="64">
        <v>5</v>
      </c>
      <c r="M87" s="64">
        <f>COUNTIF('Cat 15 – Investments'!$Q$4:$Q$103,L87)</f>
        <v>17</v>
      </c>
      <c r="N87" s="67">
        <f>SUMIF('Cat 15 – Investments'!$Q$4:$Q$103,L87,'Cat 15 – Investments'!$N$4:$N$103)</f>
        <v>1118799.33</v>
      </c>
    </row>
    <row r="88" spans="2:14" x14ac:dyDescent="0.25">
      <c r="B88" s="65" t="s">
        <v>2065</v>
      </c>
      <c r="C88" s="65" t="s">
        <v>2088</v>
      </c>
      <c r="D88" s="64"/>
      <c r="E88" s="64" t="s">
        <v>1347</v>
      </c>
      <c r="F88" s="64" t="s">
        <v>2149</v>
      </c>
      <c r="G88" s="67">
        <f>SUMIF('Cat 11 – Use of Sold Products'!$C$4:$C$103,E88,'Cat 11 – Use of Sold Products'!$Q$4:$Q$103)</f>
        <v>1789617.67</v>
      </c>
      <c r="H88" s="64"/>
      <c r="I88" s="64" t="s">
        <v>1924</v>
      </c>
      <c r="J88" s="67">
        <f>SUMIF('Cat 15 – Investments'!$F$4:$F$103,I88,'Cat 15 – Investments'!$N$4:$N$103)</f>
        <v>382526.74999999994</v>
      </c>
      <c r="K88" s="64"/>
      <c r="L88" s="64"/>
      <c r="M88" s="64"/>
      <c r="N88" s="64"/>
    </row>
    <row r="89" spans="2:14" x14ac:dyDescent="0.25">
      <c r="B89" s="64" t="str">
        <f>"Cat "&amp;B13&amp;" "&amp;C13</f>
        <v>Cat 4 Upstream Transportation &amp; Distribution</v>
      </c>
      <c r="C89" s="68">
        <f>G13</f>
        <v>35714.793619999997</v>
      </c>
      <c r="D89" s="64"/>
      <c r="E89" s="64" t="s">
        <v>1354</v>
      </c>
      <c r="F89" s="64" t="s">
        <v>2152</v>
      </c>
      <c r="G89" s="67">
        <f>SUMIF('Cat 11 – Use of Sold Products'!$C$4:$C$103,E89,'Cat 11 – Use of Sold Products'!$Q$4:$Q$103)</f>
        <v>650025.02</v>
      </c>
      <c r="H89" s="64"/>
      <c r="I89" s="64" t="s">
        <v>1292</v>
      </c>
      <c r="J89" s="67">
        <f>SUMIF('Cat 15 – Investments'!$F$4:$F$103,I89,'Cat 15 – Investments'!$N$4:$N$103)</f>
        <v>374186.7</v>
      </c>
      <c r="K89" s="64"/>
      <c r="L89" s="64"/>
      <c r="M89" s="64"/>
      <c r="N89" s="64"/>
    </row>
    <row r="90" spans="2:14" x14ac:dyDescent="0.25">
      <c r="B90" s="64" t="str">
        <f>"Cat "&amp;B14&amp;" "&amp;C14</f>
        <v>Cat 2 Capital Goods</v>
      </c>
      <c r="C90" s="68">
        <f>G14</f>
        <v>33680.858500000002</v>
      </c>
      <c r="D90" s="64"/>
      <c r="E90" s="64" t="s">
        <v>1372</v>
      </c>
      <c r="F90" s="64" t="s">
        <v>2153</v>
      </c>
      <c r="G90" s="67">
        <f>SUMIF('Cat 11 – Use of Sold Products'!$C$4:$C$103,E90,'Cat 11 – Use of Sold Products'!$Q$4:$Q$103)</f>
        <v>320117.45999999996</v>
      </c>
      <c r="H90" s="64"/>
      <c r="I90" s="64" t="s">
        <v>1649</v>
      </c>
      <c r="J90" s="67">
        <f>SUMIF('Cat 15 – Investments'!$F$4:$F$103,I90,'Cat 15 – Investments'!$N$4:$N$103)</f>
        <v>332203.02</v>
      </c>
      <c r="K90" s="64"/>
      <c r="L90" s="64"/>
      <c r="M90" s="64"/>
      <c r="N90" s="64"/>
    </row>
    <row r="91" spans="2:14" x14ac:dyDescent="0.25">
      <c r="B91" s="64" t="str">
        <f>"Cat "&amp;B15&amp;" "&amp;C15</f>
        <v>Cat 13 Downstream Leased Assets</v>
      </c>
      <c r="C91" s="68">
        <f>G15</f>
        <v>31572.195299999996</v>
      </c>
      <c r="D91" s="64"/>
      <c r="E91" s="64" t="s">
        <v>1359</v>
      </c>
      <c r="F91" s="64" t="s">
        <v>2154</v>
      </c>
      <c r="G91" s="67">
        <f>SUMIF('Cat 11 – Use of Sold Products'!$C$4:$C$103,E91,'Cat 11 – Use of Sold Products'!$Q$4:$Q$103)</f>
        <v>48014.65</v>
      </c>
      <c r="H91" s="64"/>
      <c r="I91" s="64" t="s">
        <v>1905</v>
      </c>
      <c r="J91" s="67">
        <f>SUMIF('Cat 15 – Investments'!$F$4:$F$103,I91,'Cat 15 – Investments'!$N$4:$N$103)</f>
        <v>309671.03999999998</v>
      </c>
      <c r="K91" s="64"/>
      <c r="L91" s="64"/>
      <c r="M91" s="64"/>
      <c r="N91" s="64"/>
    </row>
    <row r="92" spans="2:14" x14ac:dyDescent="0.25">
      <c r="B92" s="64" t="str">
        <f>"Cat "&amp;B16&amp;" "&amp;C16</f>
        <v>Cat 8 Upstream Leased Assets</v>
      </c>
      <c r="C92" s="68">
        <f>G16</f>
        <v>15628.310099999995</v>
      </c>
      <c r="D92" s="64"/>
      <c r="E92" s="64" t="s">
        <v>1365</v>
      </c>
      <c r="F92" s="64" t="s">
        <v>2155</v>
      </c>
      <c r="G92" s="67">
        <f>SUMIF('Cat 11 – Use of Sold Products'!$C$4:$C$103,E92,'Cat 11 – Use of Sold Products'!$Q$4:$Q$103)</f>
        <v>13880.82</v>
      </c>
      <c r="H92" s="64"/>
      <c r="I92" s="64" t="s">
        <v>1936</v>
      </c>
      <c r="J92" s="67">
        <f>SUMIF('Cat 15 – Investments'!$F$4:$F$103,I92,'Cat 15 – Investments'!$N$4:$N$103)</f>
        <v>276842.94999999995</v>
      </c>
      <c r="K92" s="64"/>
      <c r="L92" s="64"/>
      <c r="M92" s="64"/>
      <c r="N92" s="64"/>
    </row>
    <row r="93" spans="2:14" x14ac:dyDescent="0.25">
      <c r="B93" s="64" t="str">
        <f>"Cat "&amp;B17&amp;" "&amp;C17</f>
        <v>Cat 12 End-of-Life Treatment of Sold Products</v>
      </c>
      <c r="C93" s="68">
        <f>G17</f>
        <v>15163.004800000001</v>
      </c>
      <c r="D93" s="64"/>
      <c r="E93" s="64"/>
      <c r="F93" s="64"/>
      <c r="G93" s="64"/>
      <c r="H93" s="64"/>
      <c r="I93" s="64" t="s">
        <v>1916</v>
      </c>
      <c r="J93" s="67">
        <f>SUMIF('Cat 15 – Investments'!$F$4:$F$103,I93,'Cat 15 – Investments'!$N$4:$N$103)</f>
        <v>237144.72</v>
      </c>
      <c r="K93" s="64"/>
      <c r="L93" s="64"/>
      <c r="M93" s="64"/>
      <c r="N93" s="64"/>
    </row>
    <row r="94" spans="2:14" x14ac:dyDescent="0.25">
      <c r="B94" s="64" t="str">
        <f>"Cat "&amp;B18&amp;" "&amp;C18</f>
        <v>Cat 9 Downstream Transportation &amp; Distribution</v>
      </c>
      <c r="C94" s="68">
        <f>G18</f>
        <v>12124.429550000003</v>
      </c>
      <c r="D94" s="64"/>
      <c r="E94" s="64"/>
      <c r="F94" s="64"/>
      <c r="G94" s="64"/>
      <c r="H94" s="64"/>
      <c r="I94" s="64" t="s">
        <v>1635</v>
      </c>
      <c r="J94" s="67">
        <f>SUMIF('Cat 15 – Investments'!$F$4:$F$103,I94,'Cat 15 – Investments'!$N$4:$N$103)</f>
        <v>231883.03999999998</v>
      </c>
      <c r="K94" s="64"/>
      <c r="L94" s="64"/>
      <c r="M94" s="64"/>
      <c r="N94" s="64"/>
    </row>
    <row r="95" spans="2:14" x14ac:dyDescent="0.25">
      <c r="B95" s="64" t="str">
        <f>"Cat "&amp;B19&amp;" "&amp;C19</f>
        <v>Cat 14 Franchises</v>
      </c>
      <c r="C95" s="68">
        <f>G19</f>
        <v>5984.2672000000002</v>
      </c>
      <c r="D95" s="64"/>
      <c r="E95" s="64"/>
      <c r="F95" s="64"/>
      <c r="G95" s="64"/>
      <c r="H95" s="64"/>
      <c r="I95" s="64" t="s">
        <v>1930</v>
      </c>
      <c r="J95" s="67">
        <f>SUMIF('Cat 15 – Investments'!$F$4:$F$103,I95,'Cat 15 – Investments'!$N$4:$N$103)</f>
        <v>161225.20000000001</v>
      </c>
      <c r="K95" s="64"/>
      <c r="L95" s="64"/>
      <c r="M95" s="64"/>
      <c r="N95" s="64"/>
    </row>
    <row r="96" spans="2:14" x14ac:dyDescent="0.25">
      <c r="B96" s="64" t="str">
        <f>"Cat "&amp;B20&amp;" "&amp;C20</f>
        <v>Cat 3 Fuel- &amp; Energy-Related Activities</v>
      </c>
      <c r="C96" s="68">
        <f>G20</f>
        <v>1865.6268999999998</v>
      </c>
      <c r="D96" s="64"/>
      <c r="E96" s="64"/>
      <c r="F96" s="64"/>
      <c r="G96" s="64"/>
      <c r="H96" s="64"/>
      <c r="I96" s="64" t="s">
        <v>1646</v>
      </c>
      <c r="J96" s="67">
        <f>SUMIF('Cat 15 – Investments'!$F$4:$F$103,I96,'Cat 15 – Investments'!$N$4:$N$103)</f>
        <v>87210.57</v>
      </c>
      <c r="K96" s="64"/>
      <c r="L96" s="64"/>
      <c r="M96" s="64"/>
      <c r="N96" s="64"/>
    </row>
    <row r="97" spans="2:14" x14ac:dyDescent="0.25">
      <c r="B97" s="64" t="str">
        <f>"Cat "&amp;B21&amp;" "&amp;C21</f>
        <v>Cat 1 Purchased Goods &amp; Services</v>
      </c>
      <c r="C97" s="68">
        <f>G21</f>
        <v>1819.5989999999997</v>
      </c>
      <c r="D97" s="64"/>
      <c r="E97" s="64"/>
      <c r="F97" s="64"/>
      <c r="G97" s="64"/>
      <c r="H97" s="64"/>
      <c r="I97" s="64" t="s">
        <v>81</v>
      </c>
      <c r="J97" s="67">
        <f>SUMIF('Cat 15 – Investments'!$F$4:$F$103,I97,'Cat 15 – Investments'!$N$4:$N$103)</f>
        <v>13192.98</v>
      </c>
      <c r="K97" s="64"/>
      <c r="L97" s="64"/>
      <c r="M97" s="64"/>
      <c r="N97" s="64"/>
    </row>
    <row r="98" spans="2:14" x14ac:dyDescent="0.25">
      <c r="B98" s="64" t="str">
        <f>"Cat "&amp;B22&amp;" "&amp;C22</f>
        <v>Cat 6 Business Travel</v>
      </c>
      <c r="C98" s="68">
        <f>G22</f>
        <v>144.65020999999999</v>
      </c>
      <c r="D98" s="64"/>
      <c r="E98" s="64"/>
      <c r="F98" s="64"/>
      <c r="G98" s="64"/>
      <c r="H98" s="64"/>
      <c r="I98" s="64"/>
      <c r="J98" s="64"/>
      <c r="K98" s="64"/>
      <c r="L98" s="64"/>
      <c r="M98" s="64"/>
      <c r="N98" s="64"/>
    </row>
    <row r="99" spans="2:14" x14ac:dyDescent="0.25">
      <c r="B99" s="64" t="str">
        <f>"Cat "&amp;B23&amp;" "&amp;C23</f>
        <v>Cat 7 Employee Commuting</v>
      </c>
      <c r="C99" s="68">
        <f>G23</f>
        <v>128.19464999999997</v>
      </c>
      <c r="D99" s="64"/>
      <c r="E99" s="64"/>
      <c r="F99" s="64"/>
      <c r="G99" s="64"/>
      <c r="H99" s="64"/>
      <c r="I99" s="64"/>
      <c r="J99" s="64"/>
      <c r="K99" s="64"/>
      <c r="L99" s="64"/>
      <c r="M99" s="64"/>
      <c r="N99" s="64"/>
    </row>
    <row r="100" spans="2:14" x14ac:dyDescent="0.25">
      <c r="B100" s="64" t="str">
        <f>"Cat "&amp;B24&amp;" "&amp;C24</f>
        <v>Cat 10 Processing of Sold Products</v>
      </c>
      <c r="C100" s="68">
        <f>G24</f>
        <v>66.266599999999997</v>
      </c>
      <c r="D100" s="64"/>
      <c r="E100" s="64"/>
      <c r="F100" s="64"/>
      <c r="G100" s="64"/>
      <c r="H100" s="64"/>
      <c r="I100" s="64"/>
      <c r="J100" s="64"/>
      <c r="K100" s="64"/>
      <c r="L100" s="64"/>
      <c r="M100" s="64"/>
      <c r="N100" s="64"/>
    </row>
    <row r="101" spans="2:14" x14ac:dyDescent="0.25">
      <c r="B101" s="64" t="str">
        <f>"Cat "&amp;B25&amp;" "&amp;C25</f>
        <v>Cat 5 Waste Generated in Operations</v>
      </c>
      <c r="C101" s="68">
        <f>G25</f>
        <v>0.98433000000000004</v>
      </c>
      <c r="D101" s="64"/>
      <c r="E101" s="64"/>
      <c r="F101" s="64"/>
      <c r="G101" s="64"/>
      <c r="H101" s="64"/>
      <c r="I101" s="64"/>
      <c r="J101" s="64"/>
      <c r="K101" s="64"/>
      <c r="L101" s="64"/>
      <c r="M101" s="64"/>
      <c r="N101" s="64"/>
    </row>
  </sheetData>
  <mergeCells count="35">
    <mergeCell ref="C22:E22"/>
    <mergeCell ref="C23:E23"/>
    <mergeCell ref="C24:E24"/>
    <mergeCell ref="C25:E25"/>
    <mergeCell ref="C26:E26"/>
    <mergeCell ref="C16:E16"/>
    <mergeCell ref="C17:E17"/>
    <mergeCell ref="C18:E18"/>
    <mergeCell ref="C19:E19"/>
    <mergeCell ref="C20:E20"/>
    <mergeCell ref="C21:E21"/>
    <mergeCell ref="C10:E10"/>
    <mergeCell ref="C11:E11"/>
    <mergeCell ref="C12:E12"/>
    <mergeCell ref="C13:E13"/>
    <mergeCell ref="C14:E14"/>
    <mergeCell ref="C15:E15"/>
    <mergeCell ref="J5:K5"/>
    <mergeCell ref="J6:K6"/>
    <mergeCell ref="J7:K7"/>
    <mergeCell ref="L5:M5"/>
    <mergeCell ref="L6:M6"/>
    <mergeCell ref="L7:M7"/>
    <mergeCell ref="F5:G5"/>
    <mergeCell ref="F6:G6"/>
    <mergeCell ref="F7:G7"/>
    <mergeCell ref="H5:I5"/>
    <mergeCell ref="H6:I6"/>
    <mergeCell ref="H7:I7"/>
    <mergeCell ref="B5:C5"/>
    <mergeCell ref="B6:C6"/>
    <mergeCell ref="B7:C7"/>
    <mergeCell ref="D5:E5"/>
    <mergeCell ref="D6:E6"/>
    <mergeCell ref="D7:E7"/>
  </mergeCells>
  <conditionalFormatting sqref="F11:F25">
    <cfRule type="containsText" dxfId="1" priority="1" operator="containsText" text="Downstream">
      <formula>NOT(ISERROR(SEARCH("Downstream",F11)))</formula>
    </cfRule>
  </conditionalFormatting>
  <conditionalFormatting sqref="F11:F25">
    <cfRule type="containsText" dxfId="0" priority="2" operator="containsText" text="Upstream">
      <formula>NOT(ISERROR(SEARCH("Upstream",F11)))</formula>
    </cfRule>
  </conditionalFormatting>
  <conditionalFormatting sqref="H11:H25">
    <cfRule type="dataBar" priority="3">
      <dataBar>
        <cfvo type="min"/>
        <cfvo type="max"/>
        <color rgb="FF9DB4CC"/>
      </dataBar>
      <extLst>
        <ext xmlns:x14="http://schemas.microsoft.com/office/spreadsheetml/2009/9/main" uri="{B025F937-C7B1-47D3-B67F-A62EFF666E3E}">
          <x14:id>{4721F07F-07EF-45D1-992A-B41F66FD33AE}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721F07F-07EF-45D1-992A-B41F66FD33AE}">
            <x14:dataBar minLength="0" maxLength="100" gradient="0" direction="leftToRight" negativeBarColorSameAsPositive="1" axisPosition="none">
              <x14:cfvo type="min"/>
              <x14:cfvo type="max"/>
            </x14:dataBar>
          </x14:cfRule>
          <xm:sqref>H11:H25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C4E67-84BC-4B59-9E3D-A78282A45DC7}">
  <dimension ref="A1:F39"/>
  <sheetViews>
    <sheetView workbookViewId="0">
      <pane ySplit="5" topLeftCell="A6" activePane="bottomLeft" state="frozen"/>
      <selection pane="bottomLeft" activeCell="B8" sqref="B8"/>
    </sheetView>
  </sheetViews>
  <sheetFormatPr defaultRowHeight="15" x14ac:dyDescent="0.25"/>
  <cols>
    <col min="1" max="1" width="10.42578125" customWidth="1"/>
    <col min="2" max="2" width="62.85546875" customWidth="1"/>
    <col min="3" max="3" width="14.28515625" customWidth="1"/>
    <col min="4" max="4" width="32.42578125" customWidth="1"/>
    <col min="5" max="5" width="13.28515625" customWidth="1"/>
    <col min="6" max="6" width="43.85546875" customWidth="1"/>
  </cols>
  <sheetData>
    <row r="1" spans="1:6" ht="21" x14ac:dyDescent="0.35">
      <c r="A1" s="11" t="s">
        <v>2062</v>
      </c>
    </row>
    <row r="2" spans="1:6" x14ac:dyDescent="0.25">
      <c r="A2" s="26" t="s">
        <v>2063</v>
      </c>
    </row>
    <row r="4" spans="1:6" ht="15.75" x14ac:dyDescent="0.25">
      <c r="A4" s="12" t="s">
        <v>2064</v>
      </c>
    </row>
    <row r="5" spans="1:6" x14ac:dyDescent="0.25">
      <c r="A5" s="13" t="s">
        <v>1946</v>
      </c>
      <c r="B5" s="13" t="s">
        <v>2065</v>
      </c>
      <c r="C5" s="13" t="s">
        <v>2066</v>
      </c>
      <c r="D5" s="13" t="s">
        <v>538</v>
      </c>
      <c r="E5" s="13" t="s">
        <v>2067</v>
      </c>
      <c r="F5" s="13" t="s">
        <v>2068</v>
      </c>
    </row>
    <row r="6" spans="1:6" x14ac:dyDescent="0.25">
      <c r="A6" s="22">
        <v>11</v>
      </c>
      <c r="B6" s="22" t="s">
        <v>2027</v>
      </c>
      <c r="C6" s="22" t="s">
        <v>2013</v>
      </c>
      <c r="D6" s="23">
        <f>SUM('Cat 11 – Use of Sold Products'!Q4:Q103)</f>
        <v>62357323.040000007</v>
      </c>
      <c r="E6" s="24">
        <f t="shared" ref="E6:E20" si="0">D6/$D$21</f>
        <v>0.91582330812244728</v>
      </c>
      <c r="F6" s="22" t="s">
        <v>2069</v>
      </c>
    </row>
    <row r="7" spans="1:6" x14ac:dyDescent="0.25">
      <c r="A7" s="22">
        <v>15</v>
      </c>
      <c r="B7" s="22" t="s">
        <v>2054</v>
      </c>
      <c r="C7" s="22" t="s">
        <v>2013</v>
      </c>
      <c r="D7" s="23">
        <f>SUM('Cat 15 – Investments'!N4:N103)</f>
        <v>5577597.950000003</v>
      </c>
      <c r="E7" s="24">
        <f t="shared" si="0"/>
        <v>8.1916508870486987E-2</v>
      </c>
      <c r="F7" s="22" t="s">
        <v>2070</v>
      </c>
    </row>
    <row r="8" spans="1:6" x14ac:dyDescent="0.25">
      <c r="A8">
        <v>4</v>
      </c>
      <c r="B8" t="s">
        <v>1977</v>
      </c>
      <c r="C8" t="s">
        <v>1956</v>
      </c>
      <c r="D8" s="14">
        <f>SUM('Cat 4 – Upstream Transportat'!O4:O103)</f>
        <v>35714.793619999997</v>
      </c>
      <c r="E8" s="15">
        <f t="shared" si="0"/>
        <v>5.2453246623492108E-4</v>
      </c>
      <c r="F8" t="s">
        <v>2071</v>
      </c>
    </row>
    <row r="9" spans="1:6" x14ac:dyDescent="0.25">
      <c r="A9">
        <v>2</v>
      </c>
      <c r="B9" t="s">
        <v>1963</v>
      </c>
      <c r="C9" t="s">
        <v>1956</v>
      </c>
      <c r="D9" s="14">
        <f>SUM('Cat 2 – Capital Goods'!N4:N103)</f>
        <v>33680.858500000002</v>
      </c>
      <c r="E9" s="15">
        <f t="shared" si="0"/>
        <v>4.9466067092212435E-4</v>
      </c>
      <c r="F9" t="s">
        <v>2072</v>
      </c>
    </row>
    <row r="10" spans="1:6" x14ac:dyDescent="0.25">
      <c r="A10">
        <v>13</v>
      </c>
      <c r="B10" t="s">
        <v>2041</v>
      </c>
      <c r="C10" t="s">
        <v>2013</v>
      </c>
      <c r="D10" s="14">
        <f>SUM('Cat 13 – Downstream Leased As'!R4:R103)</f>
        <v>31572.195299999996</v>
      </c>
      <c r="E10" s="15">
        <f t="shared" si="0"/>
        <v>4.6369136670261355E-4</v>
      </c>
      <c r="F10" t="s">
        <v>2073</v>
      </c>
    </row>
    <row r="11" spans="1:6" x14ac:dyDescent="0.25">
      <c r="A11">
        <v>8</v>
      </c>
      <c r="B11" t="s">
        <v>2005</v>
      </c>
      <c r="C11" t="s">
        <v>1956</v>
      </c>
      <c r="D11" s="14">
        <f>SUM('Cat 8 – Upstream Leased Asse'!R4:R103)</f>
        <v>15628.310099999995</v>
      </c>
      <c r="E11" s="15">
        <f t="shared" si="0"/>
        <v>2.2952830491078515E-4</v>
      </c>
      <c r="F11" t="s">
        <v>2073</v>
      </c>
    </row>
    <row r="12" spans="1:6" x14ac:dyDescent="0.25">
      <c r="A12">
        <v>12</v>
      </c>
      <c r="B12" t="s">
        <v>2034</v>
      </c>
      <c r="C12" t="s">
        <v>2013</v>
      </c>
      <c r="D12" s="14">
        <f>SUM('Cat 12 – End-of-Life Treatmen'!T4:T103)</f>
        <v>15163.004800000001</v>
      </c>
      <c r="E12" s="15">
        <f t="shared" si="0"/>
        <v>2.2269450547299417E-4</v>
      </c>
      <c r="F12" t="s">
        <v>2074</v>
      </c>
    </row>
    <row r="13" spans="1:6" x14ac:dyDescent="0.25">
      <c r="A13">
        <v>9</v>
      </c>
      <c r="B13" t="s">
        <v>2012</v>
      </c>
      <c r="C13" t="s">
        <v>2013</v>
      </c>
      <c r="D13" s="14">
        <f>SUM('Cat 9 – Downstream Transport'!T4:T103)</f>
        <v>12124.429550000003</v>
      </c>
      <c r="E13" s="15">
        <f t="shared" si="0"/>
        <v>1.7806786177231888E-4</v>
      </c>
      <c r="F13" t="s">
        <v>2075</v>
      </c>
    </row>
    <row r="14" spans="1:6" x14ac:dyDescent="0.25">
      <c r="A14">
        <v>14</v>
      </c>
      <c r="B14" t="s">
        <v>2047</v>
      </c>
      <c r="C14" t="s">
        <v>2013</v>
      </c>
      <c r="D14" s="14">
        <f>SUM('Cat 14 – Franchises'!S4:S103)</f>
        <v>5984.2672000000002</v>
      </c>
      <c r="E14" s="15">
        <f t="shared" si="0"/>
        <v>8.788913822161815E-5</v>
      </c>
      <c r="F14" t="s">
        <v>2076</v>
      </c>
    </row>
    <row r="15" spans="1:6" x14ac:dyDescent="0.25">
      <c r="A15">
        <v>3</v>
      </c>
      <c r="B15" t="s">
        <v>2077</v>
      </c>
      <c r="C15" t="s">
        <v>1956</v>
      </c>
      <c r="D15" s="14">
        <f>SUM('Cat 3 – Fuel- and Energy-Rel'!O4:O103)</f>
        <v>1865.6268999999998</v>
      </c>
      <c r="E15" s="15">
        <f t="shared" si="0"/>
        <v>2.7399902946190131E-5</v>
      </c>
      <c r="F15" t="s">
        <v>2078</v>
      </c>
    </row>
    <row r="16" spans="1:6" x14ac:dyDescent="0.25">
      <c r="A16">
        <v>1</v>
      </c>
      <c r="B16" t="s">
        <v>1955</v>
      </c>
      <c r="C16" t="s">
        <v>1956</v>
      </c>
      <c r="D16" s="14">
        <f>SUM('Cat 1 – Purchased Goods &amp; Se'!R4:R103)</f>
        <v>1819.5989999999997</v>
      </c>
      <c r="E16" s="15">
        <f t="shared" si="0"/>
        <v>2.6723904978527387E-5</v>
      </c>
      <c r="F16" t="s">
        <v>2079</v>
      </c>
    </row>
    <row r="17" spans="1:6" x14ac:dyDescent="0.25">
      <c r="A17">
        <v>6</v>
      </c>
      <c r="B17" t="s">
        <v>1991</v>
      </c>
      <c r="C17" t="s">
        <v>1956</v>
      </c>
      <c r="D17" s="14">
        <f>SUM('Cat 6 – Business Travel'!R4:R103)</f>
        <v>144.65020999999999</v>
      </c>
      <c r="E17" s="15">
        <f t="shared" si="0"/>
        <v>2.1244342666510765E-6</v>
      </c>
      <c r="F17" t="s">
        <v>2080</v>
      </c>
    </row>
    <row r="18" spans="1:6" x14ac:dyDescent="0.25">
      <c r="A18">
        <v>7</v>
      </c>
      <c r="B18" t="s">
        <v>1998</v>
      </c>
      <c r="C18" t="s">
        <v>1956</v>
      </c>
      <c r="D18" s="14">
        <f>SUM('Cat 7 – Employee Commuting'!S4:S103)</f>
        <v>128.19464999999997</v>
      </c>
      <c r="E18" s="15">
        <f t="shared" si="0"/>
        <v>1.8827563904770091E-6</v>
      </c>
      <c r="F18" t="s">
        <v>2081</v>
      </c>
    </row>
    <row r="19" spans="1:6" x14ac:dyDescent="0.25">
      <c r="A19">
        <v>10</v>
      </c>
      <c r="B19" t="s">
        <v>2020</v>
      </c>
      <c r="C19" t="s">
        <v>2013</v>
      </c>
      <c r="D19" s="14">
        <f>SUM('Cat 10 – Processing of Sold P'!M4:M103)</f>
        <v>66.266599999999997</v>
      </c>
      <c r="E19" s="15">
        <f t="shared" si="0"/>
        <v>9.7323768679257526E-7</v>
      </c>
      <c r="F19" t="s">
        <v>2082</v>
      </c>
    </row>
    <row r="20" spans="1:6" x14ac:dyDescent="0.25">
      <c r="A20">
        <v>5</v>
      </c>
      <c r="B20" t="s">
        <v>1984</v>
      </c>
      <c r="C20" t="s">
        <v>1956</v>
      </c>
      <c r="D20" s="14">
        <f>SUM('Cat 5 – Waste Generated in O'!L4:L103)</f>
        <v>0.98433000000000004</v>
      </c>
      <c r="E20" s="15">
        <f t="shared" si="0"/>
        <v>1.4456559597754157E-8</v>
      </c>
      <c r="F20" t="s">
        <v>2083</v>
      </c>
    </row>
    <row r="21" spans="1:6" x14ac:dyDescent="0.25">
      <c r="A21" s="19" t="s">
        <v>2084</v>
      </c>
      <c r="B21" s="19" t="s">
        <v>2085</v>
      </c>
      <c r="C21" s="19"/>
      <c r="D21" s="20">
        <f>SUM(D6:D20)</f>
        <v>68088814.170760021</v>
      </c>
      <c r="E21" s="21">
        <f>SUM(E6:E20)</f>
        <v>0.99999999999999978</v>
      </c>
      <c r="F21" s="19"/>
    </row>
    <row r="23" spans="1:6" ht="15.75" x14ac:dyDescent="0.25">
      <c r="A23" s="12" t="s">
        <v>2086</v>
      </c>
    </row>
    <row r="24" spans="1:6" x14ac:dyDescent="0.25">
      <c r="A24" s="13" t="s">
        <v>2087</v>
      </c>
      <c r="B24" s="13"/>
      <c r="C24" s="13"/>
      <c r="D24" s="13" t="s">
        <v>2088</v>
      </c>
      <c r="E24" s="13" t="s">
        <v>2089</v>
      </c>
      <c r="F24" s="13"/>
    </row>
    <row r="25" spans="1:6" x14ac:dyDescent="0.25">
      <c r="A25" t="s">
        <v>2090</v>
      </c>
      <c r="D25" s="14">
        <f>SUM('Cat 11 – Use of Sold Products'!P4:P103)</f>
        <v>54662798.889999993</v>
      </c>
      <c r="E25" s="15">
        <f>D25/$D$6</f>
        <v>0.87660592573763552</v>
      </c>
    </row>
    <row r="26" spans="1:6" x14ac:dyDescent="0.25">
      <c r="A26" t="s">
        <v>2091</v>
      </c>
      <c r="D26" s="14">
        <f>SUM('Cat 11 – Use of Sold Products'!O4:O103)</f>
        <v>7694524.1499999994</v>
      </c>
      <c r="E26" s="15">
        <f>D26/$D$6</f>
        <v>0.12339407426236428</v>
      </c>
    </row>
    <row r="27" spans="1:6" x14ac:dyDescent="0.25">
      <c r="A27" t="s">
        <v>2092</v>
      </c>
      <c r="D27" s="14">
        <f>SUMIF('Cat 4 – Upstream Transportat'!I4:I103,"Air",'Cat 4 – Upstream Transportat'!O4:O103)</f>
        <v>25868.141770000006</v>
      </c>
      <c r="E27" s="15">
        <f>D27/$D$8</f>
        <v>0.72429766906210136</v>
      </c>
    </row>
    <row r="28" spans="1:6" x14ac:dyDescent="0.25">
      <c r="A28" t="s">
        <v>2093</v>
      </c>
      <c r="D28" s="14">
        <f>SUMIF('Cat 15 – Investments'!F4:F103,"Utilities",'Cat 15 – Investments'!N4:N103)+SUMIF('Cat 15 – Investments'!F4:F103,"Oil &amp; Gas",'Cat 15 – Investments'!N4:N103)</f>
        <v>1754416.1</v>
      </c>
      <c r="E28" s="15">
        <f>D28/$D$7</f>
        <v>0.31454689200034563</v>
      </c>
    </row>
    <row r="29" spans="1:6" x14ac:dyDescent="0.25">
      <c r="A29" t="s">
        <v>2094</v>
      </c>
      <c r="D29" s="14">
        <f>SUM('Cat 12 – End-of-Life Treatmen'!Q4:Q103)</f>
        <v>7828.7828</v>
      </c>
      <c r="E29" s="15">
        <f>D29/$D$12</f>
        <v>0.51630813966371625</v>
      </c>
    </row>
    <row r="30" spans="1:6" x14ac:dyDescent="0.25">
      <c r="A30" t="s">
        <v>2095</v>
      </c>
      <c r="D30" s="14">
        <f>SUMIF($C$6:$C$20,"Downstream",$D$6:$D$20)</f>
        <v>67999831.153450012</v>
      </c>
      <c r="E30" s="15">
        <f>D30/$D$21</f>
        <v>0.99869313310279062</v>
      </c>
    </row>
    <row r="31" spans="1:6" x14ac:dyDescent="0.25">
      <c r="A31" t="s">
        <v>2096</v>
      </c>
      <c r="D31" s="14">
        <f>SUMIF($C$6:$C$20,"Upstream",$D$6:$D$20)</f>
        <v>88983.01731000001</v>
      </c>
      <c r="E31" s="15">
        <f>D31/$D$21</f>
        <v>1.3068668972092742E-3</v>
      </c>
    </row>
    <row r="33" spans="1:6" ht="15.75" x14ac:dyDescent="0.25">
      <c r="A33" s="12" t="s">
        <v>2097</v>
      </c>
    </row>
    <row r="34" spans="1:6" x14ac:dyDescent="0.25">
      <c r="A34" s="13" t="s">
        <v>2098</v>
      </c>
      <c r="B34" s="13" t="s">
        <v>2099</v>
      </c>
      <c r="C34" s="13"/>
      <c r="D34" s="13" t="s">
        <v>2100</v>
      </c>
      <c r="E34" s="13" t="s">
        <v>2101</v>
      </c>
      <c r="F34" s="13" t="s">
        <v>2102</v>
      </c>
    </row>
    <row r="35" spans="1:6" ht="45.95" customHeight="1" x14ac:dyDescent="0.25">
      <c r="A35" s="18" t="s">
        <v>2103</v>
      </c>
      <c r="B35" s="25" t="s">
        <v>2104</v>
      </c>
      <c r="D35" t="s">
        <v>2105</v>
      </c>
      <c r="E35" s="17">
        <f>D8/SUM('Cat 4 – Upstream Transportat'!R4:R103)</f>
        <v>24350.940306953835</v>
      </c>
      <c r="F35" s="25" t="s">
        <v>2106</v>
      </c>
    </row>
    <row r="36" spans="1:6" ht="45.95" customHeight="1" x14ac:dyDescent="0.25">
      <c r="A36" s="18" t="s">
        <v>2107</v>
      </c>
      <c r="B36" s="25" t="s">
        <v>2108</v>
      </c>
      <c r="D36" t="s">
        <v>2109</v>
      </c>
      <c r="E36" t="str">
        <f>TEXT(D20,"0.0")&amp;" vs "&amp;TEXT(D20*1000,"#,##0")</f>
        <v>1.0 vs 984</v>
      </c>
      <c r="F36" s="25" t="s">
        <v>2110</v>
      </c>
    </row>
    <row r="37" spans="1:6" ht="45.95" customHeight="1" x14ac:dyDescent="0.25">
      <c r="A37" s="18" t="s">
        <v>2111</v>
      </c>
      <c r="B37" s="25" t="s">
        <v>2112</v>
      </c>
      <c r="D37" t="s">
        <v>2113</v>
      </c>
      <c r="E37" s="16">
        <f>COUNTIF('Cat 1 – Purchased Goods &amp; Se'!S4:S103,"Y")/COUNTA('Cat 1 – Purchased Goods &amp; Se'!S4:S103)</f>
        <v>0.22</v>
      </c>
      <c r="F37" s="25" t="s">
        <v>2114</v>
      </c>
    </row>
    <row r="38" spans="1:6" ht="45.95" customHeight="1" x14ac:dyDescent="0.25">
      <c r="A38" s="18" t="s">
        <v>2115</v>
      </c>
      <c r="B38" s="25" t="s">
        <v>2116</v>
      </c>
      <c r="D38" t="s">
        <v>2117</v>
      </c>
      <c r="E38" s="16">
        <f>COUNTIFS('Cat 15 – Investments'!Q4:Q103,"&gt;=4")/COUNTA('Cat 15 – Investments'!Q4:Q103)</f>
        <v>0.39</v>
      </c>
      <c r="F38" s="25" t="s">
        <v>2118</v>
      </c>
    </row>
    <row r="39" spans="1:6" ht="45.95" customHeight="1" x14ac:dyDescent="0.25">
      <c r="A39" s="18" t="s">
        <v>2119</v>
      </c>
      <c r="B39" s="25" t="s">
        <v>2120</v>
      </c>
      <c r="D39" t="s">
        <v>2121</v>
      </c>
      <c r="E39" s="16">
        <f>(D6+D7)/D21</f>
        <v>0.99773981699293424</v>
      </c>
      <c r="F39" s="25" t="s">
        <v>2122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T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0</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38.25" x14ac:dyDescent="0.25">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row>
    <row r="4" spans="1:20" x14ac:dyDescent="0.25">
      <c r="A4" s="2">
        <v>1</v>
      </c>
      <c r="B4" s="2">
        <v>2023</v>
      </c>
      <c r="C4" s="2" t="s">
        <v>22</v>
      </c>
      <c r="D4" s="2" t="s">
        <v>23</v>
      </c>
      <c r="E4" s="2" t="s">
        <v>24</v>
      </c>
      <c r="F4" s="2" t="s">
        <v>25</v>
      </c>
      <c r="G4" s="2" t="s">
        <v>26</v>
      </c>
      <c r="H4" s="2" t="s">
        <v>27</v>
      </c>
      <c r="I4" s="2" t="s">
        <v>28</v>
      </c>
      <c r="J4" s="2">
        <v>6430.3</v>
      </c>
      <c r="K4" s="2" t="s">
        <v>29</v>
      </c>
      <c r="L4" s="2">
        <v>12.99</v>
      </c>
      <c r="M4" s="2">
        <v>83529.600000000006</v>
      </c>
      <c r="N4" s="2">
        <v>2.4199999999999998E-3</v>
      </c>
      <c r="O4" s="2">
        <v>8.9689999999999994</v>
      </c>
      <c r="P4" s="2">
        <v>1154.9000000000001</v>
      </c>
      <c r="Q4" s="2">
        <v>0.2021</v>
      </c>
      <c r="R4" s="2">
        <v>10.3583</v>
      </c>
      <c r="S4" s="2" t="s">
        <v>30</v>
      </c>
      <c r="T4" s="2" t="s">
        <v>31</v>
      </c>
    </row>
    <row r="5" spans="1:20" x14ac:dyDescent="0.25">
      <c r="A5" s="3">
        <v>2</v>
      </c>
      <c r="B5" s="3">
        <v>2023</v>
      </c>
      <c r="C5" s="3" t="s">
        <v>32</v>
      </c>
      <c r="D5" s="3" t="s">
        <v>23</v>
      </c>
      <c r="E5" s="3" t="s">
        <v>33</v>
      </c>
      <c r="F5" s="3" t="s">
        <v>34</v>
      </c>
      <c r="G5" s="3" t="s">
        <v>35</v>
      </c>
      <c r="H5" s="3" t="s">
        <v>36</v>
      </c>
      <c r="I5" s="3" t="s">
        <v>37</v>
      </c>
      <c r="J5" s="3">
        <v>2264.5</v>
      </c>
      <c r="K5" s="3" t="s">
        <v>29</v>
      </c>
      <c r="L5" s="3">
        <v>252.92</v>
      </c>
      <c r="M5" s="3">
        <v>572737.34</v>
      </c>
      <c r="N5" s="3">
        <v>5.0000000000000001E-4</v>
      </c>
      <c r="O5" s="3">
        <v>7.9740000000000002</v>
      </c>
      <c r="P5" s="3">
        <v>1034.2</v>
      </c>
      <c r="Q5" s="3">
        <v>0.28639999999999999</v>
      </c>
      <c r="R5" s="3">
        <v>8.2467000000000006</v>
      </c>
      <c r="S5" s="3" t="s">
        <v>38</v>
      </c>
      <c r="T5" s="3" t="s">
        <v>31</v>
      </c>
    </row>
    <row r="6" spans="1:20" x14ac:dyDescent="0.25">
      <c r="A6" s="2">
        <v>3</v>
      </c>
      <c r="B6" s="2">
        <v>2023</v>
      </c>
      <c r="C6" s="2" t="s">
        <v>39</v>
      </c>
      <c r="D6" s="2" t="s">
        <v>40</v>
      </c>
      <c r="E6" s="2" t="s">
        <v>24</v>
      </c>
      <c r="F6" s="2" t="s">
        <v>41</v>
      </c>
      <c r="G6" s="2" t="s">
        <v>42</v>
      </c>
      <c r="H6" s="2" t="s">
        <v>43</v>
      </c>
      <c r="I6" s="2" t="s">
        <v>44</v>
      </c>
      <c r="J6" s="2">
        <v>7612.2</v>
      </c>
      <c r="K6" s="2" t="s">
        <v>29</v>
      </c>
      <c r="L6" s="2">
        <v>80.25</v>
      </c>
      <c r="M6" s="2">
        <v>610879.05000000005</v>
      </c>
      <c r="N6" s="2">
        <v>3.5500000000000002E-3</v>
      </c>
      <c r="O6" s="2">
        <v>2.976</v>
      </c>
      <c r="P6" s="2">
        <v>1425.5</v>
      </c>
      <c r="Q6" s="2">
        <v>2.1686000000000001</v>
      </c>
      <c r="R6" s="2">
        <v>4.2423000000000002</v>
      </c>
      <c r="S6" s="2" t="s">
        <v>38</v>
      </c>
      <c r="T6" s="2" t="s">
        <v>45</v>
      </c>
    </row>
    <row r="7" spans="1:20" ht="24" x14ac:dyDescent="0.25">
      <c r="A7" s="3">
        <v>4</v>
      </c>
      <c r="B7" s="3">
        <v>2023</v>
      </c>
      <c r="C7" s="3" t="s">
        <v>46</v>
      </c>
      <c r="D7" s="3" t="s">
        <v>47</v>
      </c>
      <c r="E7" s="3" t="s">
        <v>24</v>
      </c>
      <c r="F7" s="3" t="s">
        <v>48</v>
      </c>
      <c r="G7" s="3" t="s">
        <v>49</v>
      </c>
      <c r="H7" s="3" t="s">
        <v>50</v>
      </c>
      <c r="I7" s="3" t="s">
        <v>51</v>
      </c>
      <c r="J7" s="3">
        <v>6076.9</v>
      </c>
      <c r="K7" s="3" t="s">
        <v>29</v>
      </c>
      <c r="L7" s="3">
        <v>403.66</v>
      </c>
      <c r="M7" s="3">
        <v>2453001.4500000002</v>
      </c>
      <c r="N7" s="3">
        <v>5.9199999999999999E-3</v>
      </c>
      <c r="O7" s="3">
        <v>11.691000000000001</v>
      </c>
      <c r="P7" s="3">
        <v>2704.3</v>
      </c>
      <c r="Q7" s="3">
        <v>14.521800000000001</v>
      </c>
      <c r="R7" s="3">
        <v>31.616</v>
      </c>
      <c r="S7" s="3" t="s">
        <v>38</v>
      </c>
      <c r="T7" s="3" t="s">
        <v>52</v>
      </c>
    </row>
    <row r="8" spans="1:20" x14ac:dyDescent="0.25">
      <c r="A8" s="2">
        <v>5</v>
      </c>
      <c r="B8" s="2">
        <v>2023</v>
      </c>
      <c r="C8" s="2" t="s">
        <v>22</v>
      </c>
      <c r="D8" s="2" t="s">
        <v>53</v>
      </c>
      <c r="E8" s="2" t="s">
        <v>54</v>
      </c>
      <c r="F8" s="2" t="s">
        <v>41</v>
      </c>
      <c r="G8" s="2" t="s">
        <v>42</v>
      </c>
      <c r="H8" s="2" t="s">
        <v>55</v>
      </c>
      <c r="I8" s="2" t="s">
        <v>56</v>
      </c>
      <c r="J8" s="2">
        <v>7075.3</v>
      </c>
      <c r="K8" s="2" t="s">
        <v>29</v>
      </c>
      <c r="L8" s="2">
        <v>23.39</v>
      </c>
      <c r="M8" s="2">
        <v>165491.26999999999</v>
      </c>
      <c r="N8" s="2">
        <v>2.0500000000000002E-3</v>
      </c>
      <c r="O8" s="2">
        <v>1.4179999999999999</v>
      </c>
      <c r="P8" s="2">
        <v>1482.5</v>
      </c>
      <c r="Q8" s="2">
        <v>0.33929999999999999</v>
      </c>
      <c r="R8" s="2">
        <v>2.1021999999999998</v>
      </c>
      <c r="S8" s="2" t="s">
        <v>38</v>
      </c>
      <c r="T8" s="2" t="s">
        <v>45</v>
      </c>
    </row>
    <row r="9" spans="1:20" x14ac:dyDescent="0.25">
      <c r="A9" s="3">
        <v>6</v>
      </c>
      <c r="B9" s="3">
        <v>2023</v>
      </c>
      <c r="C9" s="3" t="s">
        <v>32</v>
      </c>
      <c r="D9" s="3" t="s">
        <v>57</v>
      </c>
      <c r="E9" s="3" t="s">
        <v>58</v>
      </c>
      <c r="F9" s="3" t="s">
        <v>59</v>
      </c>
      <c r="G9" s="3" t="s">
        <v>60</v>
      </c>
      <c r="H9" s="3" t="s">
        <v>61</v>
      </c>
      <c r="I9" s="3" t="s">
        <v>62</v>
      </c>
      <c r="J9" s="3">
        <v>1710.3</v>
      </c>
      <c r="K9" s="3" t="s">
        <v>29</v>
      </c>
      <c r="L9" s="3">
        <v>177.96</v>
      </c>
      <c r="M9" s="3">
        <v>304364.99</v>
      </c>
      <c r="N9" s="3">
        <v>5.4599999999999996E-3</v>
      </c>
      <c r="O9" s="3">
        <v>8.3610000000000007</v>
      </c>
      <c r="P9" s="3">
        <v>3524</v>
      </c>
      <c r="Q9" s="3">
        <v>1.6617999999999999</v>
      </c>
      <c r="R9" s="3">
        <v>29.464200000000002</v>
      </c>
      <c r="S9" s="3" t="s">
        <v>38</v>
      </c>
      <c r="T9" s="3" t="s">
        <v>63</v>
      </c>
    </row>
    <row r="10" spans="1:20" x14ac:dyDescent="0.25">
      <c r="A10" s="2">
        <v>7</v>
      </c>
      <c r="B10" s="2">
        <v>2023</v>
      </c>
      <c r="C10" s="2" t="s">
        <v>39</v>
      </c>
      <c r="D10" s="2" t="s">
        <v>64</v>
      </c>
      <c r="E10" s="2" t="s">
        <v>65</v>
      </c>
      <c r="F10" s="2" t="s">
        <v>66</v>
      </c>
      <c r="G10" s="2" t="s">
        <v>67</v>
      </c>
      <c r="H10" s="2" t="s">
        <v>68</v>
      </c>
      <c r="I10" s="2" t="s">
        <v>69</v>
      </c>
      <c r="J10" s="2">
        <v>3856.6</v>
      </c>
      <c r="K10" s="2" t="s">
        <v>29</v>
      </c>
      <c r="L10" s="2">
        <v>494.77</v>
      </c>
      <c r="M10" s="2">
        <v>1908129.98</v>
      </c>
      <c r="N10" s="2">
        <v>5.2300000000000003E-3</v>
      </c>
      <c r="O10" s="2">
        <v>8.3729999999999993</v>
      </c>
      <c r="P10" s="2">
        <v>2806.9</v>
      </c>
      <c r="Q10" s="2">
        <v>9.9794999999999998</v>
      </c>
      <c r="R10" s="2">
        <v>23.502199999999998</v>
      </c>
      <c r="S10" s="2" t="s">
        <v>38</v>
      </c>
      <c r="T10" s="2" t="s">
        <v>31</v>
      </c>
    </row>
    <row r="11" spans="1:20" x14ac:dyDescent="0.25">
      <c r="A11" s="3">
        <v>8</v>
      </c>
      <c r="B11" s="3">
        <v>2023</v>
      </c>
      <c r="C11" s="3" t="s">
        <v>46</v>
      </c>
      <c r="D11" s="3" t="s">
        <v>47</v>
      </c>
      <c r="E11" s="3" t="s">
        <v>70</v>
      </c>
      <c r="F11" s="3" t="s">
        <v>71</v>
      </c>
      <c r="G11" s="3" t="s">
        <v>72</v>
      </c>
      <c r="H11" s="3" t="s">
        <v>73</v>
      </c>
      <c r="I11" s="3" t="s">
        <v>74</v>
      </c>
      <c r="J11" s="3">
        <v>2188.6999999999998</v>
      </c>
      <c r="K11" s="3" t="s">
        <v>29</v>
      </c>
      <c r="L11" s="3">
        <v>471.48</v>
      </c>
      <c r="M11" s="3">
        <v>1031928.28</v>
      </c>
      <c r="N11" s="3">
        <v>7.0499999999999998E-3</v>
      </c>
      <c r="O11" s="3">
        <v>8.0380000000000003</v>
      </c>
      <c r="P11" s="3">
        <v>1607.7</v>
      </c>
      <c r="Q11" s="3">
        <v>7.2751000000000001</v>
      </c>
      <c r="R11" s="3">
        <v>12.922700000000001</v>
      </c>
      <c r="S11" s="3" t="s">
        <v>38</v>
      </c>
      <c r="T11" s="3" t="s">
        <v>52</v>
      </c>
    </row>
    <row r="12" spans="1:20" x14ac:dyDescent="0.25">
      <c r="A12" s="2">
        <v>9</v>
      </c>
      <c r="B12" s="2">
        <v>2023</v>
      </c>
      <c r="C12" s="2" t="s">
        <v>22</v>
      </c>
      <c r="D12" s="2" t="s">
        <v>75</v>
      </c>
      <c r="E12" s="2" t="s">
        <v>65</v>
      </c>
      <c r="F12" s="2" t="s">
        <v>59</v>
      </c>
      <c r="G12" s="2" t="s">
        <v>76</v>
      </c>
      <c r="H12" s="2" t="s">
        <v>77</v>
      </c>
      <c r="I12" s="2" t="s">
        <v>78</v>
      </c>
      <c r="J12" s="2">
        <v>7475.4</v>
      </c>
      <c r="K12" s="2" t="s">
        <v>29</v>
      </c>
      <c r="L12" s="2">
        <v>269.72000000000003</v>
      </c>
      <c r="M12" s="2">
        <v>2016264.89</v>
      </c>
      <c r="N12" s="2">
        <v>6.0499999999999998E-3</v>
      </c>
      <c r="O12" s="2">
        <v>7.2110000000000003</v>
      </c>
      <c r="P12" s="2">
        <v>2170.6999999999998</v>
      </c>
      <c r="Q12" s="2">
        <v>12.198399999999999</v>
      </c>
      <c r="R12" s="2">
        <v>15.652900000000001</v>
      </c>
      <c r="S12" s="2" t="s">
        <v>30</v>
      </c>
      <c r="T12" s="2" t="s">
        <v>31</v>
      </c>
    </row>
    <row r="13" spans="1:20" x14ac:dyDescent="0.25">
      <c r="A13" s="3">
        <v>10</v>
      </c>
      <c r="B13" s="3">
        <v>2023</v>
      </c>
      <c r="C13" s="3" t="s">
        <v>32</v>
      </c>
      <c r="D13" s="3" t="s">
        <v>47</v>
      </c>
      <c r="E13" s="3" t="s">
        <v>33</v>
      </c>
      <c r="F13" s="3" t="s">
        <v>25</v>
      </c>
      <c r="G13" s="3" t="s">
        <v>35</v>
      </c>
      <c r="H13" s="3" t="s">
        <v>79</v>
      </c>
      <c r="I13" s="3" t="s">
        <v>80</v>
      </c>
      <c r="J13" s="3">
        <v>8624.9</v>
      </c>
      <c r="K13" s="3" t="s">
        <v>29</v>
      </c>
      <c r="L13" s="3">
        <v>76.84</v>
      </c>
      <c r="M13" s="3">
        <v>662737.31999999995</v>
      </c>
      <c r="N13" s="3">
        <v>1.5299999999999999E-3</v>
      </c>
      <c r="O13" s="3">
        <v>7.359</v>
      </c>
      <c r="P13" s="3">
        <v>3418.4</v>
      </c>
      <c r="Q13" s="3">
        <v>1.014</v>
      </c>
      <c r="R13" s="3">
        <v>25.155999999999999</v>
      </c>
      <c r="S13" s="3" t="s">
        <v>38</v>
      </c>
      <c r="T13" s="3" t="s">
        <v>31</v>
      </c>
    </row>
    <row r="14" spans="1:20" x14ac:dyDescent="0.25">
      <c r="A14" s="2">
        <v>11</v>
      </c>
      <c r="B14" s="2">
        <v>2023</v>
      </c>
      <c r="C14" s="2" t="s">
        <v>39</v>
      </c>
      <c r="D14" s="2" t="s">
        <v>40</v>
      </c>
      <c r="E14" s="2" t="s">
        <v>24</v>
      </c>
      <c r="F14" s="2" t="s">
        <v>81</v>
      </c>
      <c r="G14" s="2" t="s">
        <v>26</v>
      </c>
      <c r="H14" s="2" t="s">
        <v>82</v>
      </c>
      <c r="I14" s="2" t="s">
        <v>83</v>
      </c>
      <c r="J14" s="2">
        <v>6834.8</v>
      </c>
      <c r="K14" s="2" t="s">
        <v>29</v>
      </c>
      <c r="L14" s="2">
        <v>57.72</v>
      </c>
      <c r="M14" s="2">
        <v>394504.66</v>
      </c>
      <c r="N14" s="2">
        <v>7.11E-3</v>
      </c>
      <c r="O14" s="2">
        <v>9.3390000000000004</v>
      </c>
      <c r="P14" s="2">
        <v>3766.8</v>
      </c>
      <c r="Q14" s="2">
        <v>2.8048999999999999</v>
      </c>
      <c r="R14" s="2">
        <v>35.178100000000001</v>
      </c>
      <c r="S14" s="2" t="s">
        <v>38</v>
      </c>
      <c r="T14" s="2" t="s">
        <v>31</v>
      </c>
    </row>
    <row r="15" spans="1:20" x14ac:dyDescent="0.25">
      <c r="A15" s="3">
        <v>12</v>
      </c>
      <c r="B15" s="3">
        <v>2023</v>
      </c>
      <c r="C15" s="3" t="s">
        <v>46</v>
      </c>
      <c r="D15" s="3" t="s">
        <v>84</v>
      </c>
      <c r="E15" s="3" t="s">
        <v>54</v>
      </c>
      <c r="F15" s="3" t="s">
        <v>81</v>
      </c>
      <c r="G15" s="3" t="s">
        <v>76</v>
      </c>
      <c r="H15" s="3" t="s">
        <v>85</v>
      </c>
      <c r="I15" s="3" t="s">
        <v>86</v>
      </c>
      <c r="J15" s="3">
        <v>9542.7999999999993</v>
      </c>
      <c r="K15" s="3" t="s">
        <v>29</v>
      </c>
      <c r="L15" s="3">
        <v>437.99</v>
      </c>
      <c r="M15" s="3">
        <v>4179650.97</v>
      </c>
      <c r="N15" s="3">
        <v>2.33E-3</v>
      </c>
      <c r="O15" s="3">
        <v>2.5539999999999998</v>
      </c>
      <c r="P15" s="3">
        <v>2527.9</v>
      </c>
      <c r="Q15" s="3">
        <v>9.7385999999999999</v>
      </c>
      <c r="R15" s="3">
        <v>6.4562999999999997</v>
      </c>
      <c r="S15" s="3" t="s">
        <v>38</v>
      </c>
      <c r="T15" s="3" t="s">
        <v>52</v>
      </c>
    </row>
    <row r="16" spans="1:20" x14ac:dyDescent="0.25">
      <c r="A16" s="2">
        <v>13</v>
      </c>
      <c r="B16" s="2">
        <v>2023</v>
      </c>
      <c r="C16" s="2" t="s">
        <v>22</v>
      </c>
      <c r="D16" s="2" t="s">
        <v>87</v>
      </c>
      <c r="E16" s="2" t="s">
        <v>88</v>
      </c>
      <c r="F16" s="2" t="s">
        <v>71</v>
      </c>
      <c r="G16" s="2" t="s">
        <v>89</v>
      </c>
      <c r="H16" s="2" t="s">
        <v>90</v>
      </c>
      <c r="I16" s="2" t="s">
        <v>91</v>
      </c>
      <c r="J16" s="2">
        <v>3801.7</v>
      </c>
      <c r="K16" s="2" t="s">
        <v>29</v>
      </c>
      <c r="L16" s="2">
        <v>81.19</v>
      </c>
      <c r="M16" s="2">
        <v>308660.02</v>
      </c>
      <c r="N16" s="2">
        <v>7.6400000000000001E-3</v>
      </c>
      <c r="O16" s="2">
        <v>11.063000000000001</v>
      </c>
      <c r="P16" s="2">
        <v>4616</v>
      </c>
      <c r="Q16" s="2">
        <v>2.3582000000000001</v>
      </c>
      <c r="R16" s="2">
        <v>51.066800000000001</v>
      </c>
      <c r="S16" s="2" t="s">
        <v>38</v>
      </c>
      <c r="T16" s="2" t="s">
        <v>45</v>
      </c>
    </row>
    <row r="17" spans="1:20" x14ac:dyDescent="0.25">
      <c r="A17" s="3">
        <v>14</v>
      </c>
      <c r="B17" s="3">
        <v>2023</v>
      </c>
      <c r="C17" s="3" t="s">
        <v>32</v>
      </c>
      <c r="D17" s="3" t="s">
        <v>57</v>
      </c>
      <c r="E17" s="3" t="s">
        <v>92</v>
      </c>
      <c r="F17" s="3" t="s">
        <v>48</v>
      </c>
      <c r="G17" s="3" t="s">
        <v>72</v>
      </c>
      <c r="H17" s="3" t="s">
        <v>93</v>
      </c>
      <c r="I17" s="3" t="s">
        <v>94</v>
      </c>
      <c r="J17" s="3">
        <v>2470.6</v>
      </c>
      <c r="K17" s="3" t="s">
        <v>29</v>
      </c>
      <c r="L17" s="3">
        <v>120.82</v>
      </c>
      <c r="M17" s="3">
        <v>298497.89</v>
      </c>
      <c r="N17" s="3">
        <v>4.6699999999999997E-3</v>
      </c>
      <c r="O17" s="3">
        <v>8.9169999999999998</v>
      </c>
      <c r="P17" s="3">
        <v>439.8</v>
      </c>
      <c r="Q17" s="3">
        <v>1.3939999999999999</v>
      </c>
      <c r="R17" s="3">
        <v>3.9217</v>
      </c>
      <c r="S17" s="3" t="s">
        <v>38</v>
      </c>
      <c r="T17" s="3" t="s">
        <v>52</v>
      </c>
    </row>
    <row r="18" spans="1:20" x14ac:dyDescent="0.25">
      <c r="A18" s="2">
        <v>15</v>
      </c>
      <c r="B18" s="2">
        <v>2023</v>
      </c>
      <c r="C18" s="2" t="s">
        <v>39</v>
      </c>
      <c r="D18" s="2" t="s">
        <v>95</v>
      </c>
      <c r="E18" s="2" t="s">
        <v>96</v>
      </c>
      <c r="F18" s="2" t="s">
        <v>81</v>
      </c>
      <c r="G18" s="2" t="s">
        <v>42</v>
      </c>
      <c r="H18" s="2" t="s">
        <v>97</v>
      </c>
      <c r="I18" s="2" t="s">
        <v>98</v>
      </c>
      <c r="J18" s="2">
        <v>2724.1</v>
      </c>
      <c r="K18" s="2" t="s">
        <v>29</v>
      </c>
      <c r="L18" s="2">
        <v>436.28</v>
      </c>
      <c r="M18" s="2">
        <v>1188470.3500000001</v>
      </c>
      <c r="N18" s="2">
        <v>3.5599999999999998E-3</v>
      </c>
      <c r="O18" s="2">
        <v>6.702</v>
      </c>
      <c r="P18" s="2">
        <v>1098.4000000000001</v>
      </c>
      <c r="Q18" s="2">
        <v>4.2309999999999999</v>
      </c>
      <c r="R18" s="2">
        <v>7.3615000000000004</v>
      </c>
      <c r="S18" s="2" t="s">
        <v>38</v>
      </c>
      <c r="T18" s="2" t="s">
        <v>63</v>
      </c>
    </row>
    <row r="19" spans="1:20" x14ac:dyDescent="0.25">
      <c r="A19" s="3">
        <v>16</v>
      </c>
      <c r="B19" s="3">
        <v>2023</v>
      </c>
      <c r="C19" s="3" t="s">
        <v>46</v>
      </c>
      <c r="D19" s="3" t="s">
        <v>23</v>
      </c>
      <c r="E19" s="3" t="s">
        <v>65</v>
      </c>
      <c r="F19" s="3" t="s">
        <v>25</v>
      </c>
      <c r="G19" s="3" t="s">
        <v>99</v>
      </c>
      <c r="H19" s="3" t="s">
        <v>100</v>
      </c>
      <c r="I19" s="3" t="s">
        <v>101</v>
      </c>
      <c r="J19" s="3">
        <v>9006.2000000000007</v>
      </c>
      <c r="K19" s="3" t="s">
        <v>29</v>
      </c>
      <c r="L19" s="3">
        <v>226.02</v>
      </c>
      <c r="M19" s="3">
        <v>2035581.32</v>
      </c>
      <c r="N19" s="3">
        <v>2.2100000000000002E-3</v>
      </c>
      <c r="O19" s="3">
        <v>0.74199999999999999</v>
      </c>
      <c r="P19" s="3">
        <v>366.9</v>
      </c>
      <c r="Q19" s="3">
        <v>4.4985999999999997</v>
      </c>
      <c r="R19" s="3">
        <v>0.2722</v>
      </c>
      <c r="S19" s="3" t="s">
        <v>30</v>
      </c>
      <c r="T19" s="3" t="s">
        <v>31</v>
      </c>
    </row>
    <row r="20" spans="1:20" x14ac:dyDescent="0.25">
      <c r="A20" s="2">
        <v>17</v>
      </c>
      <c r="B20" s="2">
        <v>2023</v>
      </c>
      <c r="C20" s="2" t="s">
        <v>22</v>
      </c>
      <c r="D20" s="2" t="s">
        <v>102</v>
      </c>
      <c r="E20" s="2" t="s">
        <v>65</v>
      </c>
      <c r="F20" s="2" t="s">
        <v>48</v>
      </c>
      <c r="G20" s="2" t="s">
        <v>72</v>
      </c>
      <c r="H20" s="2" t="s">
        <v>103</v>
      </c>
      <c r="I20" s="2" t="s">
        <v>104</v>
      </c>
      <c r="J20" s="2">
        <v>2366.5</v>
      </c>
      <c r="K20" s="2" t="s">
        <v>29</v>
      </c>
      <c r="L20" s="2">
        <v>452.76</v>
      </c>
      <c r="M20" s="2">
        <v>1071456.54</v>
      </c>
      <c r="N20" s="2">
        <v>6.9199999999999999E-3</v>
      </c>
      <c r="O20" s="2">
        <v>3.2370000000000001</v>
      </c>
      <c r="P20" s="2">
        <v>400.7</v>
      </c>
      <c r="Q20" s="2">
        <v>7.4145000000000003</v>
      </c>
      <c r="R20" s="2">
        <v>1.2970999999999999</v>
      </c>
      <c r="S20" s="2" t="s">
        <v>38</v>
      </c>
      <c r="T20" s="2" t="s">
        <v>52</v>
      </c>
    </row>
    <row r="21" spans="1:20" x14ac:dyDescent="0.25">
      <c r="A21" s="3">
        <v>18</v>
      </c>
      <c r="B21" s="3">
        <v>2023</v>
      </c>
      <c r="C21" s="3" t="s">
        <v>32</v>
      </c>
      <c r="D21" s="3" t="s">
        <v>105</v>
      </c>
      <c r="E21" s="3" t="s">
        <v>33</v>
      </c>
      <c r="F21" s="3" t="s">
        <v>71</v>
      </c>
      <c r="G21" s="3" t="s">
        <v>106</v>
      </c>
      <c r="H21" s="3" t="s">
        <v>107</v>
      </c>
      <c r="I21" s="3" t="s">
        <v>108</v>
      </c>
      <c r="J21" s="3">
        <v>7867.7</v>
      </c>
      <c r="K21" s="3" t="s">
        <v>29</v>
      </c>
      <c r="L21" s="3">
        <v>403.84</v>
      </c>
      <c r="M21" s="3">
        <v>3177291.97</v>
      </c>
      <c r="N21" s="3">
        <v>1.7700000000000001E-3</v>
      </c>
      <c r="O21" s="3">
        <v>5.4569999999999999</v>
      </c>
      <c r="P21" s="3">
        <v>529.79999999999995</v>
      </c>
      <c r="Q21" s="3">
        <v>5.6238000000000001</v>
      </c>
      <c r="R21" s="3">
        <v>2.8910999999999998</v>
      </c>
      <c r="S21" s="3" t="s">
        <v>30</v>
      </c>
      <c r="T21" s="3" t="s">
        <v>31</v>
      </c>
    </row>
    <row r="22" spans="1:20" x14ac:dyDescent="0.25">
      <c r="A22" s="2">
        <v>19</v>
      </c>
      <c r="B22" s="2">
        <v>2023</v>
      </c>
      <c r="C22" s="2" t="s">
        <v>39</v>
      </c>
      <c r="D22" s="2" t="s">
        <v>109</v>
      </c>
      <c r="E22" s="2" t="s">
        <v>110</v>
      </c>
      <c r="F22" s="2" t="s">
        <v>111</v>
      </c>
      <c r="G22" s="2" t="s">
        <v>112</v>
      </c>
      <c r="H22" s="2" t="s">
        <v>113</v>
      </c>
      <c r="I22" s="2" t="s">
        <v>56</v>
      </c>
      <c r="J22" s="2">
        <v>4086</v>
      </c>
      <c r="K22" s="2" t="s">
        <v>29</v>
      </c>
      <c r="L22" s="2">
        <v>169.98</v>
      </c>
      <c r="M22" s="2">
        <v>694538.28</v>
      </c>
      <c r="N22" s="2">
        <v>6.9300000000000004E-3</v>
      </c>
      <c r="O22" s="2">
        <v>2.6869999999999998</v>
      </c>
      <c r="P22" s="2">
        <v>1280.8</v>
      </c>
      <c r="Q22" s="2">
        <v>4.8132000000000001</v>
      </c>
      <c r="R22" s="2">
        <v>3.4415</v>
      </c>
      <c r="S22" s="2" t="s">
        <v>38</v>
      </c>
      <c r="T22" s="2" t="s">
        <v>52</v>
      </c>
    </row>
    <row r="23" spans="1:20" x14ac:dyDescent="0.25">
      <c r="A23" s="3">
        <v>20</v>
      </c>
      <c r="B23" s="3">
        <v>2023</v>
      </c>
      <c r="C23" s="3" t="s">
        <v>46</v>
      </c>
      <c r="D23" s="3" t="s">
        <v>23</v>
      </c>
      <c r="E23" s="3" t="s">
        <v>54</v>
      </c>
      <c r="F23" s="3" t="s">
        <v>66</v>
      </c>
      <c r="G23" s="3" t="s">
        <v>114</v>
      </c>
      <c r="H23" s="3" t="s">
        <v>115</v>
      </c>
      <c r="I23" s="3" t="s">
        <v>116</v>
      </c>
      <c r="J23" s="3">
        <v>8757.4</v>
      </c>
      <c r="K23" s="3" t="s">
        <v>29</v>
      </c>
      <c r="L23" s="3">
        <v>38.15</v>
      </c>
      <c r="M23" s="3">
        <v>334094.81</v>
      </c>
      <c r="N23" s="3">
        <v>6.5199999999999998E-3</v>
      </c>
      <c r="O23" s="3">
        <v>1.6259999999999999</v>
      </c>
      <c r="P23" s="3">
        <v>4287</v>
      </c>
      <c r="Q23" s="3">
        <v>2.1783000000000001</v>
      </c>
      <c r="R23" s="3">
        <v>6.9706999999999999</v>
      </c>
      <c r="S23" s="3" t="s">
        <v>38</v>
      </c>
      <c r="T23" s="3" t="s">
        <v>63</v>
      </c>
    </row>
    <row r="24" spans="1:20" ht="24" x14ac:dyDescent="0.25">
      <c r="A24" s="2">
        <v>21</v>
      </c>
      <c r="B24" s="2">
        <v>2023</v>
      </c>
      <c r="C24" s="2" t="s">
        <v>22</v>
      </c>
      <c r="D24" s="2" t="s">
        <v>47</v>
      </c>
      <c r="E24" s="2" t="s">
        <v>117</v>
      </c>
      <c r="F24" s="2" t="s">
        <v>71</v>
      </c>
      <c r="G24" s="2" t="s">
        <v>49</v>
      </c>
      <c r="H24" s="2" t="s">
        <v>118</v>
      </c>
      <c r="I24" s="2" t="s">
        <v>119</v>
      </c>
      <c r="J24" s="2">
        <v>4907.8</v>
      </c>
      <c r="K24" s="2" t="s">
        <v>29</v>
      </c>
      <c r="L24" s="2">
        <v>107.27</v>
      </c>
      <c r="M24" s="2">
        <v>526459.71</v>
      </c>
      <c r="N24" s="2">
        <v>3.3899999999999998E-3</v>
      </c>
      <c r="O24" s="2">
        <v>4.8579999999999997</v>
      </c>
      <c r="P24" s="2">
        <v>340.2</v>
      </c>
      <c r="Q24" s="2">
        <v>1.7847</v>
      </c>
      <c r="R24" s="2">
        <v>1.6527000000000001</v>
      </c>
      <c r="S24" s="2" t="s">
        <v>38</v>
      </c>
      <c r="T24" s="2" t="s">
        <v>52</v>
      </c>
    </row>
    <row r="25" spans="1:20" x14ac:dyDescent="0.25">
      <c r="A25" s="3">
        <v>22</v>
      </c>
      <c r="B25" s="3">
        <v>2023</v>
      </c>
      <c r="C25" s="3" t="s">
        <v>32</v>
      </c>
      <c r="D25" s="3" t="s">
        <v>40</v>
      </c>
      <c r="E25" s="3" t="s">
        <v>120</v>
      </c>
      <c r="F25" s="3" t="s">
        <v>66</v>
      </c>
      <c r="G25" s="3" t="s">
        <v>121</v>
      </c>
      <c r="H25" s="3" t="s">
        <v>122</v>
      </c>
      <c r="I25" s="3" t="s">
        <v>123</v>
      </c>
      <c r="J25" s="3">
        <v>1980</v>
      </c>
      <c r="K25" s="3" t="s">
        <v>29</v>
      </c>
      <c r="L25" s="3">
        <v>109.24</v>
      </c>
      <c r="M25" s="3">
        <v>216295.2</v>
      </c>
      <c r="N25" s="3">
        <v>7.5000000000000002E-4</v>
      </c>
      <c r="O25" s="3">
        <v>1.2010000000000001</v>
      </c>
      <c r="P25" s="3">
        <v>3691.9</v>
      </c>
      <c r="Q25" s="3">
        <v>0.16220000000000001</v>
      </c>
      <c r="R25" s="3">
        <v>4.4340000000000002</v>
      </c>
      <c r="S25" s="3" t="s">
        <v>38</v>
      </c>
      <c r="T25" s="3" t="s">
        <v>31</v>
      </c>
    </row>
    <row r="26" spans="1:20" x14ac:dyDescent="0.25">
      <c r="A26" s="2">
        <v>23</v>
      </c>
      <c r="B26" s="2">
        <v>2023</v>
      </c>
      <c r="C26" s="2" t="s">
        <v>39</v>
      </c>
      <c r="D26" s="2" t="s">
        <v>53</v>
      </c>
      <c r="E26" s="2" t="s">
        <v>33</v>
      </c>
      <c r="F26" s="2" t="s">
        <v>41</v>
      </c>
      <c r="G26" s="2" t="s">
        <v>121</v>
      </c>
      <c r="H26" s="2" t="s">
        <v>124</v>
      </c>
      <c r="I26" s="2" t="s">
        <v>125</v>
      </c>
      <c r="J26" s="2">
        <v>9611.7000000000007</v>
      </c>
      <c r="K26" s="2" t="s">
        <v>29</v>
      </c>
      <c r="L26" s="2">
        <v>40.520000000000003</v>
      </c>
      <c r="M26" s="2">
        <v>389466.08</v>
      </c>
      <c r="N26" s="2">
        <v>1.73E-3</v>
      </c>
      <c r="O26" s="2">
        <v>8.2650000000000006</v>
      </c>
      <c r="P26" s="2">
        <v>2995.4</v>
      </c>
      <c r="Q26" s="2">
        <v>0.67379999999999995</v>
      </c>
      <c r="R26" s="2">
        <v>24.757000000000001</v>
      </c>
      <c r="S26" s="2" t="s">
        <v>30</v>
      </c>
      <c r="T26" s="2" t="s">
        <v>31</v>
      </c>
    </row>
    <row r="27" spans="1:20" x14ac:dyDescent="0.25">
      <c r="A27" s="3">
        <v>24</v>
      </c>
      <c r="B27" s="3">
        <v>2023</v>
      </c>
      <c r="C27" s="3" t="s">
        <v>46</v>
      </c>
      <c r="D27" s="3" t="s">
        <v>40</v>
      </c>
      <c r="E27" s="3" t="s">
        <v>65</v>
      </c>
      <c r="F27" s="3" t="s">
        <v>81</v>
      </c>
      <c r="G27" s="3" t="s">
        <v>42</v>
      </c>
      <c r="H27" s="3" t="s">
        <v>126</v>
      </c>
      <c r="I27" s="3" t="s">
        <v>127</v>
      </c>
      <c r="J27" s="3">
        <v>4250.3</v>
      </c>
      <c r="K27" s="3" t="s">
        <v>29</v>
      </c>
      <c r="L27" s="3">
        <v>292.04000000000002</v>
      </c>
      <c r="M27" s="3">
        <v>1241257.6100000001</v>
      </c>
      <c r="N27" s="3">
        <v>4.3299999999999996E-3</v>
      </c>
      <c r="O27" s="3">
        <v>2.8490000000000002</v>
      </c>
      <c r="P27" s="3">
        <v>4676.8</v>
      </c>
      <c r="Q27" s="3">
        <v>5.3746</v>
      </c>
      <c r="R27" s="3">
        <v>13.324199999999999</v>
      </c>
      <c r="S27" s="3" t="s">
        <v>38</v>
      </c>
      <c r="T27" s="3" t="s">
        <v>63</v>
      </c>
    </row>
    <row r="28" spans="1:20" x14ac:dyDescent="0.25">
      <c r="A28" s="2">
        <v>25</v>
      </c>
      <c r="B28" s="2">
        <v>2023</v>
      </c>
      <c r="C28" s="2" t="s">
        <v>22</v>
      </c>
      <c r="D28" s="2" t="s">
        <v>84</v>
      </c>
      <c r="E28" s="2" t="s">
        <v>24</v>
      </c>
      <c r="F28" s="2" t="s">
        <v>48</v>
      </c>
      <c r="G28" s="2" t="s">
        <v>128</v>
      </c>
      <c r="H28" s="2" t="s">
        <v>129</v>
      </c>
      <c r="I28" s="2" t="s">
        <v>130</v>
      </c>
      <c r="J28" s="2">
        <v>3230.2</v>
      </c>
      <c r="K28" s="2" t="s">
        <v>29</v>
      </c>
      <c r="L28" s="2">
        <v>376.06</v>
      </c>
      <c r="M28" s="2">
        <v>1214749.01</v>
      </c>
      <c r="N28" s="2">
        <v>8.5999999999999998E-4</v>
      </c>
      <c r="O28" s="2">
        <v>11.981999999999999</v>
      </c>
      <c r="P28" s="2">
        <v>2318.5</v>
      </c>
      <c r="Q28" s="2">
        <v>1.0447</v>
      </c>
      <c r="R28" s="2">
        <v>27.7803</v>
      </c>
      <c r="S28" s="2" t="s">
        <v>38</v>
      </c>
      <c r="T28" s="2" t="s">
        <v>52</v>
      </c>
    </row>
    <row r="29" spans="1:20" x14ac:dyDescent="0.25">
      <c r="A29" s="3">
        <v>26</v>
      </c>
      <c r="B29" s="3">
        <v>2023</v>
      </c>
      <c r="C29" s="3" t="s">
        <v>32</v>
      </c>
      <c r="D29" s="3" t="s">
        <v>23</v>
      </c>
      <c r="E29" s="3" t="s">
        <v>96</v>
      </c>
      <c r="F29" s="3" t="s">
        <v>81</v>
      </c>
      <c r="G29" s="3" t="s">
        <v>76</v>
      </c>
      <c r="H29" s="3" t="s">
        <v>131</v>
      </c>
      <c r="I29" s="3" t="s">
        <v>132</v>
      </c>
      <c r="J29" s="3">
        <v>9339.2999999999993</v>
      </c>
      <c r="K29" s="3" t="s">
        <v>29</v>
      </c>
      <c r="L29" s="3">
        <v>440.49</v>
      </c>
      <c r="M29" s="3">
        <v>4113868.26</v>
      </c>
      <c r="N29" s="3">
        <v>7.0699999999999999E-3</v>
      </c>
      <c r="O29" s="3">
        <v>2.3140000000000001</v>
      </c>
      <c r="P29" s="3">
        <v>1879.2</v>
      </c>
      <c r="Q29" s="3">
        <v>29.085000000000001</v>
      </c>
      <c r="R29" s="3">
        <v>4.3484999999999996</v>
      </c>
      <c r="S29" s="3" t="s">
        <v>38</v>
      </c>
      <c r="T29" s="3" t="s">
        <v>31</v>
      </c>
    </row>
    <row r="30" spans="1:20" x14ac:dyDescent="0.25">
      <c r="A30" s="2">
        <v>27</v>
      </c>
      <c r="B30" s="2">
        <v>2023</v>
      </c>
      <c r="C30" s="2" t="s">
        <v>39</v>
      </c>
      <c r="D30" s="2" t="s">
        <v>133</v>
      </c>
      <c r="E30" s="2" t="s">
        <v>117</v>
      </c>
      <c r="F30" s="2" t="s">
        <v>25</v>
      </c>
      <c r="G30" s="2" t="s">
        <v>128</v>
      </c>
      <c r="H30" s="2" t="s">
        <v>134</v>
      </c>
      <c r="I30" s="2" t="s">
        <v>135</v>
      </c>
      <c r="J30" s="2">
        <v>9395.4</v>
      </c>
      <c r="K30" s="2" t="s">
        <v>29</v>
      </c>
      <c r="L30" s="2">
        <v>67.58</v>
      </c>
      <c r="M30" s="2">
        <v>634941.13</v>
      </c>
      <c r="N30" s="2">
        <v>1.1900000000000001E-3</v>
      </c>
      <c r="O30" s="2">
        <v>6.8620000000000001</v>
      </c>
      <c r="P30" s="2">
        <v>579.79999999999995</v>
      </c>
      <c r="Q30" s="2">
        <v>0.75560000000000005</v>
      </c>
      <c r="R30" s="2">
        <v>3.9786000000000001</v>
      </c>
      <c r="S30" s="2" t="s">
        <v>38</v>
      </c>
      <c r="T30" s="2" t="s">
        <v>45</v>
      </c>
    </row>
    <row r="31" spans="1:20" x14ac:dyDescent="0.25">
      <c r="A31" s="3">
        <v>28</v>
      </c>
      <c r="B31" s="3">
        <v>2023</v>
      </c>
      <c r="C31" s="3" t="s">
        <v>46</v>
      </c>
      <c r="D31" s="3" t="s">
        <v>133</v>
      </c>
      <c r="E31" s="3" t="s">
        <v>120</v>
      </c>
      <c r="F31" s="3" t="s">
        <v>66</v>
      </c>
      <c r="G31" s="3" t="s">
        <v>67</v>
      </c>
      <c r="H31" s="3" t="s">
        <v>136</v>
      </c>
      <c r="I31" s="3" t="s">
        <v>137</v>
      </c>
      <c r="J31" s="3">
        <v>5103.5</v>
      </c>
      <c r="K31" s="3" t="s">
        <v>29</v>
      </c>
      <c r="L31" s="3">
        <v>125.94</v>
      </c>
      <c r="M31" s="3">
        <v>642734.79</v>
      </c>
      <c r="N31" s="3">
        <v>7.2899999999999996E-3</v>
      </c>
      <c r="O31" s="3">
        <v>7.7939999999999996</v>
      </c>
      <c r="P31" s="3">
        <v>301.5</v>
      </c>
      <c r="Q31" s="3">
        <v>4.6855000000000002</v>
      </c>
      <c r="R31" s="3">
        <v>2.3498999999999999</v>
      </c>
      <c r="S31" s="3" t="s">
        <v>38</v>
      </c>
      <c r="T31" s="3" t="s">
        <v>52</v>
      </c>
    </row>
    <row r="32" spans="1:20" x14ac:dyDescent="0.25">
      <c r="A32" s="2">
        <v>29</v>
      </c>
      <c r="B32" s="2">
        <v>2023</v>
      </c>
      <c r="C32" s="2" t="s">
        <v>22</v>
      </c>
      <c r="D32" s="2" t="s">
        <v>138</v>
      </c>
      <c r="E32" s="2" t="s">
        <v>139</v>
      </c>
      <c r="F32" s="2" t="s">
        <v>66</v>
      </c>
      <c r="G32" s="2" t="s">
        <v>140</v>
      </c>
      <c r="H32" s="2" t="s">
        <v>141</v>
      </c>
      <c r="I32" s="2" t="s">
        <v>142</v>
      </c>
      <c r="J32" s="2">
        <v>7438.2</v>
      </c>
      <c r="K32" s="2" t="s">
        <v>29</v>
      </c>
      <c r="L32" s="2">
        <v>276.06</v>
      </c>
      <c r="M32" s="2">
        <v>2053389.49</v>
      </c>
      <c r="N32" s="2">
        <v>3.5899999999999999E-3</v>
      </c>
      <c r="O32" s="2">
        <v>1.365</v>
      </c>
      <c r="P32" s="2">
        <v>97.9</v>
      </c>
      <c r="Q32" s="2">
        <v>7.3716999999999997</v>
      </c>
      <c r="R32" s="2">
        <v>0.1336</v>
      </c>
      <c r="S32" s="2" t="s">
        <v>38</v>
      </c>
      <c r="T32" s="2" t="s">
        <v>63</v>
      </c>
    </row>
    <row r="33" spans="1:20" x14ac:dyDescent="0.25">
      <c r="A33" s="3">
        <v>30</v>
      </c>
      <c r="B33" s="3">
        <v>2023</v>
      </c>
      <c r="C33" s="3" t="s">
        <v>32</v>
      </c>
      <c r="D33" s="3" t="s">
        <v>75</v>
      </c>
      <c r="E33" s="3" t="s">
        <v>65</v>
      </c>
      <c r="F33" s="3" t="s">
        <v>34</v>
      </c>
      <c r="G33" s="3" t="s">
        <v>143</v>
      </c>
      <c r="H33" s="3" t="s">
        <v>144</v>
      </c>
      <c r="I33" s="3" t="s">
        <v>145</v>
      </c>
      <c r="J33" s="3">
        <v>1361.7</v>
      </c>
      <c r="K33" s="3" t="s">
        <v>29</v>
      </c>
      <c r="L33" s="3">
        <v>154.47999999999999</v>
      </c>
      <c r="M33" s="3">
        <v>210355.42</v>
      </c>
      <c r="N33" s="3">
        <v>7.2199999999999999E-3</v>
      </c>
      <c r="O33" s="3">
        <v>10.398</v>
      </c>
      <c r="P33" s="3">
        <v>3990.8</v>
      </c>
      <c r="Q33" s="3">
        <v>1.5187999999999999</v>
      </c>
      <c r="R33" s="3">
        <v>41.496299999999998</v>
      </c>
      <c r="S33" s="3" t="s">
        <v>38</v>
      </c>
      <c r="T33" s="3" t="s">
        <v>52</v>
      </c>
    </row>
    <row r="34" spans="1:20" x14ac:dyDescent="0.25">
      <c r="A34" s="2">
        <v>31</v>
      </c>
      <c r="B34" s="2">
        <v>2023</v>
      </c>
      <c r="C34" s="2" t="s">
        <v>39</v>
      </c>
      <c r="D34" s="2" t="s">
        <v>105</v>
      </c>
      <c r="E34" s="2" t="s">
        <v>120</v>
      </c>
      <c r="F34" s="2" t="s">
        <v>59</v>
      </c>
      <c r="G34" s="2" t="s">
        <v>67</v>
      </c>
      <c r="H34" s="2" t="s">
        <v>146</v>
      </c>
      <c r="I34" s="2" t="s">
        <v>147</v>
      </c>
      <c r="J34" s="2">
        <v>9265.1</v>
      </c>
      <c r="K34" s="2" t="s">
        <v>29</v>
      </c>
      <c r="L34" s="2">
        <v>118.75</v>
      </c>
      <c r="M34" s="2">
        <v>1100230.6200000001</v>
      </c>
      <c r="N34" s="2">
        <v>1.5499999999999999E-3</v>
      </c>
      <c r="O34" s="2">
        <v>2.536</v>
      </c>
      <c r="P34" s="2">
        <v>4009.4</v>
      </c>
      <c r="Q34" s="2">
        <v>1.7054</v>
      </c>
      <c r="R34" s="2">
        <v>10.1678</v>
      </c>
      <c r="S34" s="2" t="s">
        <v>38</v>
      </c>
      <c r="T34" s="2" t="s">
        <v>45</v>
      </c>
    </row>
    <row r="35" spans="1:20" x14ac:dyDescent="0.25">
      <c r="A35" s="3">
        <v>32</v>
      </c>
      <c r="B35" s="3">
        <v>2023</v>
      </c>
      <c r="C35" s="3" t="s">
        <v>46</v>
      </c>
      <c r="D35" s="3" t="s">
        <v>95</v>
      </c>
      <c r="E35" s="3" t="s">
        <v>54</v>
      </c>
      <c r="F35" s="3" t="s">
        <v>71</v>
      </c>
      <c r="G35" s="3" t="s">
        <v>140</v>
      </c>
      <c r="H35" s="3" t="s">
        <v>148</v>
      </c>
      <c r="I35" s="3" t="s">
        <v>149</v>
      </c>
      <c r="J35" s="3">
        <v>1676.1</v>
      </c>
      <c r="K35" s="3" t="s">
        <v>29</v>
      </c>
      <c r="L35" s="3">
        <v>350.79</v>
      </c>
      <c r="M35" s="3">
        <v>587959.12</v>
      </c>
      <c r="N35" s="3">
        <v>3.2499999999999999E-3</v>
      </c>
      <c r="O35" s="3">
        <v>5.9130000000000003</v>
      </c>
      <c r="P35" s="3">
        <v>241.7</v>
      </c>
      <c r="Q35" s="3">
        <v>1.9109</v>
      </c>
      <c r="R35" s="3">
        <v>1.4292</v>
      </c>
      <c r="S35" s="3" t="s">
        <v>38</v>
      </c>
      <c r="T35" s="3" t="s">
        <v>52</v>
      </c>
    </row>
    <row r="36" spans="1:20" x14ac:dyDescent="0.25">
      <c r="A36" s="2">
        <v>33</v>
      </c>
      <c r="B36" s="2">
        <v>2023</v>
      </c>
      <c r="C36" s="2" t="s">
        <v>22</v>
      </c>
      <c r="D36" s="2" t="s">
        <v>133</v>
      </c>
      <c r="E36" s="2" t="s">
        <v>88</v>
      </c>
      <c r="F36" s="2" t="s">
        <v>48</v>
      </c>
      <c r="G36" s="2" t="s">
        <v>42</v>
      </c>
      <c r="H36" s="2" t="s">
        <v>150</v>
      </c>
      <c r="I36" s="2" t="s">
        <v>151</v>
      </c>
      <c r="J36" s="2">
        <v>334.3</v>
      </c>
      <c r="K36" s="2" t="s">
        <v>29</v>
      </c>
      <c r="L36" s="2">
        <v>96.97</v>
      </c>
      <c r="M36" s="2">
        <v>32417.07</v>
      </c>
      <c r="N36" s="2">
        <v>2.8300000000000001E-3</v>
      </c>
      <c r="O36" s="2">
        <v>11.619</v>
      </c>
      <c r="P36" s="2">
        <v>4328.5</v>
      </c>
      <c r="Q36" s="2">
        <v>9.1700000000000004E-2</v>
      </c>
      <c r="R36" s="2">
        <v>50.2928</v>
      </c>
      <c r="S36" s="2" t="s">
        <v>38</v>
      </c>
      <c r="T36" s="2" t="s">
        <v>31</v>
      </c>
    </row>
    <row r="37" spans="1:20" x14ac:dyDescent="0.25">
      <c r="A37" s="3">
        <v>34</v>
      </c>
      <c r="B37" s="3">
        <v>2023</v>
      </c>
      <c r="C37" s="3" t="s">
        <v>32</v>
      </c>
      <c r="D37" s="3" t="s">
        <v>84</v>
      </c>
      <c r="E37" s="3" t="s">
        <v>58</v>
      </c>
      <c r="F37" s="3" t="s">
        <v>111</v>
      </c>
      <c r="G37" s="3" t="s">
        <v>140</v>
      </c>
      <c r="H37" s="3" t="s">
        <v>152</v>
      </c>
      <c r="I37" s="3" t="s">
        <v>153</v>
      </c>
      <c r="J37" s="3">
        <v>1241.9000000000001</v>
      </c>
      <c r="K37" s="3" t="s">
        <v>29</v>
      </c>
      <c r="L37" s="3">
        <v>485.22</v>
      </c>
      <c r="M37" s="3">
        <v>602594.72</v>
      </c>
      <c r="N37" s="3">
        <v>1.67E-3</v>
      </c>
      <c r="O37" s="3">
        <v>3.5529999999999999</v>
      </c>
      <c r="P37" s="3">
        <v>4814.5</v>
      </c>
      <c r="Q37" s="3">
        <v>1.0063</v>
      </c>
      <c r="R37" s="3">
        <v>17.105899999999998</v>
      </c>
      <c r="S37" s="3" t="s">
        <v>38</v>
      </c>
      <c r="T37" s="3" t="s">
        <v>31</v>
      </c>
    </row>
    <row r="38" spans="1:20" x14ac:dyDescent="0.25">
      <c r="A38" s="2">
        <v>35</v>
      </c>
      <c r="B38" s="2">
        <v>2023</v>
      </c>
      <c r="C38" s="2" t="s">
        <v>39</v>
      </c>
      <c r="D38" s="2" t="s">
        <v>23</v>
      </c>
      <c r="E38" s="2" t="s">
        <v>154</v>
      </c>
      <c r="F38" s="2" t="s">
        <v>34</v>
      </c>
      <c r="G38" s="2" t="s">
        <v>140</v>
      </c>
      <c r="H38" s="2" t="s">
        <v>155</v>
      </c>
      <c r="I38" s="2" t="s">
        <v>156</v>
      </c>
      <c r="J38" s="2">
        <v>3913.4</v>
      </c>
      <c r="K38" s="2" t="s">
        <v>29</v>
      </c>
      <c r="L38" s="2">
        <v>288.51</v>
      </c>
      <c r="M38" s="2">
        <v>1129055.03</v>
      </c>
      <c r="N38" s="2">
        <v>2.2599999999999999E-3</v>
      </c>
      <c r="O38" s="2">
        <v>0.51900000000000002</v>
      </c>
      <c r="P38" s="2">
        <v>3558.5</v>
      </c>
      <c r="Q38" s="2">
        <v>2.5516999999999999</v>
      </c>
      <c r="R38" s="2">
        <v>1.8469</v>
      </c>
      <c r="S38" s="2" t="s">
        <v>30</v>
      </c>
      <c r="T38" s="2" t="s">
        <v>45</v>
      </c>
    </row>
    <row r="39" spans="1:20" ht="24" x14ac:dyDescent="0.25">
      <c r="A39" s="3">
        <v>36</v>
      </c>
      <c r="B39" s="3">
        <v>2023</v>
      </c>
      <c r="C39" s="3" t="s">
        <v>46</v>
      </c>
      <c r="D39" s="3" t="s">
        <v>105</v>
      </c>
      <c r="E39" s="3" t="s">
        <v>88</v>
      </c>
      <c r="F39" s="3" t="s">
        <v>111</v>
      </c>
      <c r="G39" s="3" t="s">
        <v>49</v>
      </c>
      <c r="H39" s="3" t="s">
        <v>157</v>
      </c>
      <c r="I39" s="3" t="s">
        <v>158</v>
      </c>
      <c r="J39" s="3">
        <v>6269.2</v>
      </c>
      <c r="K39" s="3" t="s">
        <v>29</v>
      </c>
      <c r="L39" s="3">
        <v>331.86</v>
      </c>
      <c r="M39" s="3">
        <v>2080496.71</v>
      </c>
      <c r="N39" s="3">
        <v>1.2600000000000001E-3</v>
      </c>
      <c r="O39" s="3">
        <v>6.3319999999999999</v>
      </c>
      <c r="P39" s="3">
        <v>4505.2</v>
      </c>
      <c r="Q39" s="3">
        <v>2.6214</v>
      </c>
      <c r="R39" s="3">
        <v>28.526900000000001</v>
      </c>
      <c r="S39" s="3" t="s">
        <v>38</v>
      </c>
      <c r="T39" s="3" t="s">
        <v>52</v>
      </c>
    </row>
    <row r="40" spans="1:20" x14ac:dyDescent="0.25">
      <c r="A40" s="2">
        <v>37</v>
      </c>
      <c r="B40" s="2">
        <v>2023</v>
      </c>
      <c r="C40" s="2" t="s">
        <v>22</v>
      </c>
      <c r="D40" s="2" t="s">
        <v>159</v>
      </c>
      <c r="E40" s="2" t="s">
        <v>33</v>
      </c>
      <c r="F40" s="2" t="s">
        <v>48</v>
      </c>
      <c r="G40" s="2" t="s">
        <v>89</v>
      </c>
      <c r="H40" s="2" t="s">
        <v>160</v>
      </c>
      <c r="I40" s="2" t="s">
        <v>161</v>
      </c>
      <c r="J40" s="2">
        <v>4262.3999999999996</v>
      </c>
      <c r="K40" s="2" t="s">
        <v>29</v>
      </c>
      <c r="L40" s="2">
        <v>470.21</v>
      </c>
      <c r="M40" s="2">
        <v>2004223.1</v>
      </c>
      <c r="N40" s="2">
        <v>5.5199999999999997E-3</v>
      </c>
      <c r="O40" s="2">
        <v>7.5780000000000003</v>
      </c>
      <c r="P40" s="2">
        <v>4518.8999999999996</v>
      </c>
      <c r="Q40" s="2">
        <v>11.0633</v>
      </c>
      <c r="R40" s="2">
        <v>34.244199999999999</v>
      </c>
      <c r="S40" s="2" t="s">
        <v>38</v>
      </c>
      <c r="T40" s="2" t="s">
        <v>52</v>
      </c>
    </row>
    <row r="41" spans="1:20" x14ac:dyDescent="0.25">
      <c r="A41" s="3">
        <v>38</v>
      </c>
      <c r="B41" s="3">
        <v>2023</v>
      </c>
      <c r="C41" s="3" t="s">
        <v>32</v>
      </c>
      <c r="D41" s="3" t="s">
        <v>95</v>
      </c>
      <c r="E41" s="3" t="s">
        <v>139</v>
      </c>
      <c r="F41" s="3" t="s">
        <v>71</v>
      </c>
      <c r="G41" s="3" t="s">
        <v>112</v>
      </c>
      <c r="H41" s="3" t="s">
        <v>162</v>
      </c>
      <c r="I41" s="3" t="s">
        <v>163</v>
      </c>
      <c r="J41" s="3">
        <v>4355.8999999999996</v>
      </c>
      <c r="K41" s="3" t="s">
        <v>29</v>
      </c>
      <c r="L41" s="3">
        <v>290.2</v>
      </c>
      <c r="M41" s="3">
        <v>1264082.18</v>
      </c>
      <c r="N41" s="3">
        <v>5.3400000000000001E-3</v>
      </c>
      <c r="O41" s="3">
        <v>5.585</v>
      </c>
      <c r="P41" s="3">
        <v>2351.6999999999998</v>
      </c>
      <c r="Q41" s="3">
        <v>6.7502000000000004</v>
      </c>
      <c r="R41" s="3">
        <v>13.1342</v>
      </c>
      <c r="S41" s="3" t="s">
        <v>30</v>
      </c>
      <c r="T41" s="3" t="s">
        <v>45</v>
      </c>
    </row>
    <row r="42" spans="1:20" x14ac:dyDescent="0.25">
      <c r="A42" s="2">
        <v>39</v>
      </c>
      <c r="B42" s="2">
        <v>2023</v>
      </c>
      <c r="C42" s="2" t="s">
        <v>39</v>
      </c>
      <c r="D42" s="2" t="s">
        <v>159</v>
      </c>
      <c r="E42" s="2" t="s">
        <v>65</v>
      </c>
      <c r="F42" s="2" t="s">
        <v>34</v>
      </c>
      <c r="G42" s="2" t="s">
        <v>72</v>
      </c>
      <c r="H42" s="2" t="s">
        <v>164</v>
      </c>
      <c r="I42" s="2" t="s">
        <v>165</v>
      </c>
      <c r="J42" s="2">
        <v>5203</v>
      </c>
      <c r="K42" s="2" t="s">
        <v>29</v>
      </c>
      <c r="L42" s="2">
        <v>316.64999999999998</v>
      </c>
      <c r="M42" s="2">
        <v>1647529.95</v>
      </c>
      <c r="N42" s="2">
        <v>2.8800000000000002E-3</v>
      </c>
      <c r="O42" s="2">
        <v>9.1379999999999999</v>
      </c>
      <c r="P42" s="2">
        <v>4101.2</v>
      </c>
      <c r="Q42" s="2">
        <v>4.7449000000000003</v>
      </c>
      <c r="R42" s="2">
        <v>37.476799999999997</v>
      </c>
      <c r="S42" s="2" t="s">
        <v>30</v>
      </c>
      <c r="T42" s="2" t="s">
        <v>52</v>
      </c>
    </row>
    <row r="43" spans="1:20" x14ac:dyDescent="0.25">
      <c r="A43" s="3">
        <v>40</v>
      </c>
      <c r="B43" s="3">
        <v>2023</v>
      </c>
      <c r="C43" s="3" t="s">
        <v>46</v>
      </c>
      <c r="D43" s="3" t="s">
        <v>166</v>
      </c>
      <c r="E43" s="3" t="s">
        <v>65</v>
      </c>
      <c r="F43" s="3" t="s">
        <v>111</v>
      </c>
      <c r="G43" s="3" t="s">
        <v>167</v>
      </c>
      <c r="H43" s="3" t="s">
        <v>168</v>
      </c>
      <c r="I43" s="3" t="s">
        <v>169</v>
      </c>
      <c r="J43" s="3">
        <v>9841</v>
      </c>
      <c r="K43" s="3" t="s">
        <v>29</v>
      </c>
      <c r="L43" s="3">
        <v>305.83</v>
      </c>
      <c r="M43" s="3">
        <v>3009673.03</v>
      </c>
      <c r="N43" s="3">
        <v>6.2199999999999998E-3</v>
      </c>
      <c r="O43" s="3">
        <v>10.691000000000001</v>
      </c>
      <c r="P43" s="3">
        <v>2304.3000000000002</v>
      </c>
      <c r="Q43" s="3">
        <v>18.720199999999998</v>
      </c>
      <c r="R43" s="3">
        <v>24.635300000000001</v>
      </c>
      <c r="S43" s="3" t="s">
        <v>38</v>
      </c>
      <c r="T43" s="3" t="s">
        <v>52</v>
      </c>
    </row>
    <row r="44" spans="1:20" x14ac:dyDescent="0.25">
      <c r="A44" s="2">
        <v>41</v>
      </c>
      <c r="B44" s="2">
        <v>2023</v>
      </c>
      <c r="C44" s="2" t="s">
        <v>22</v>
      </c>
      <c r="D44" s="2" t="s">
        <v>105</v>
      </c>
      <c r="E44" s="2" t="s">
        <v>65</v>
      </c>
      <c r="F44" s="2" t="s">
        <v>59</v>
      </c>
      <c r="G44" s="2" t="s">
        <v>76</v>
      </c>
      <c r="H44" s="2" t="s">
        <v>170</v>
      </c>
      <c r="I44" s="2" t="s">
        <v>171</v>
      </c>
      <c r="J44" s="2">
        <v>6595</v>
      </c>
      <c r="K44" s="2" t="s">
        <v>29</v>
      </c>
      <c r="L44" s="2">
        <v>3.27</v>
      </c>
      <c r="M44" s="2">
        <v>21565.65</v>
      </c>
      <c r="N44" s="2">
        <v>6.0800000000000003E-3</v>
      </c>
      <c r="O44" s="2">
        <v>1.726</v>
      </c>
      <c r="P44" s="2">
        <v>3861.7</v>
      </c>
      <c r="Q44" s="2">
        <v>0.13109999999999999</v>
      </c>
      <c r="R44" s="2">
        <v>6.6653000000000002</v>
      </c>
      <c r="S44" s="2" t="s">
        <v>30</v>
      </c>
      <c r="T44" s="2" t="s">
        <v>52</v>
      </c>
    </row>
    <row r="45" spans="1:20" x14ac:dyDescent="0.25">
      <c r="A45" s="3">
        <v>42</v>
      </c>
      <c r="B45" s="3">
        <v>2023</v>
      </c>
      <c r="C45" s="3" t="s">
        <v>32</v>
      </c>
      <c r="D45" s="3" t="s">
        <v>23</v>
      </c>
      <c r="E45" s="3" t="s">
        <v>58</v>
      </c>
      <c r="F45" s="3" t="s">
        <v>172</v>
      </c>
      <c r="G45" s="3" t="s">
        <v>35</v>
      </c>
      <c r="H45" s="3" t="s">
        <v>173</v>
      </c>
      <c r="I45" s="3" t="s">
        <v>174</v>
      </c>
      <c r="J45" s="3">
        <v>9183</v>
      </c>
      <c r="K45" s="3" t="s">
        <v>29</v>
      </c>
      <c r="L45" s="3">
        <v>61.12</v>
      </c>
      <c r="M45" s="3">
        <v>561264.96</v>
      </c>
      <c r="N45" s="3">
        <v>1.33E-3</v>
      </c>
      <c r="O45" s="3">
        <v>6.6079999999999997</v>
      </c>
      <c r="P45" s="3">
        <v>2350</v>
      </c>
      <c r="Q45" s="3">
        <v>0.74650000000000005</v>
      </c>
      <c r="R45" s="3">
        <v>15.5288</v>
      </c>
      <c r="S45" s="3" t="s">
        <v>38</v>
      </c>
      <c r="T45" s="3" t="s">
        <v>63</v>
      </c>
    </row>
    <row r="46" spans="1:20" x14ac:dyDescent="0.25">
      <c r="A46" s="2">
        <v>43</v>
      </c>
      <c r="B46" s="2">
        <v>2023</v>
      </c>
      <c r="C46" s="2" t="s">
        <v>39</v>
      </c>
      <c r="D46" s="2" t="s">
        <v>133</v>
      </c>
      <c r="E46" s="2" t="s">
        <v>92</v>
      </c>
      <c r="F46" s="2" t="s">
        <v>48</v>
      </c>
      <c r="G46" s="2" t="s">
        <v>167</v>
      </c>
      <c r="H46" s="2" t="s">
        <v>175</v>
      </c>
      <c r="I46" s="2" t="s">
        <v>176</v>
      </c>
      <c r="J46" s="2">
        <v>8982.4</v>
      </c>
      <c r="K46" s="2" t="s">
        <v>29</v>
      </c>
      <c r="L46" s="2">
        <v>371.96</v>
      </c>
      <c r="M46" s="2">
        <v>3341093.5</v>
      </c>
      <c r="N46" s="2">
        <v>3.9500000000000004E-3</v>
      </c>
      <c r="O46" s="2">
        <v>3.343</v>
      </c>
      <c r="P46" s="2">
        <v>1333</v>
      </c>
      <c r="Q46" s="2">
        <v>13.1973</v>
      </c>
      <c r="R46" s="2">
        <v>4.4561999999999999</v>
      </c>
      <c r="S46" s="2" t="s">
        <v>38</v>
      </c>
      <c r="T46" s="2" t="s">
        <v>45</v>
      </c>
    </row>
    <row r="47" spans="1:20" x14ac:dyDescent="0.25">
      <c r="A47" s="3">
        <v>44</v>
      </c>
      <c r="B47" s="3">
        <v>2023</v>
      </c>
      <c r="C47" s="3" t="s">
        <v>46</v>
      </c>
      <c r="D47" s="3" t="s">
        <v>57</v>
      </c>
      <c r="E47" s="3" t="s">
        <v>110</v>
      </c>
      <c r="F47" s="3" t="s">
        <v>59</v>
      </c>
      <c r="G47" s="3" t="s">
        <v>99</v>
      </c>
      <c r="H47" s="3" t="s">
        <v>177</v>
      </c>
      <c r="I47" s="3" t="s">
        <v>178</v>
      </c>
      <c r="J47" s="3">
        <v>4454.7</v>
      </c>
      <c r="K47" s="3" t="s">
        <v>29</v>
      </c>
      <c r="L47" s="3">
        <v>356.92</v>
      </c>
      <c r="M47" s="3">
        <v>1589971.52</v>
      </c>
      <c r="N47" s="3">
        <v>2.1099999999999999E-3</v>
      </c>
      <c r="O47" s="3">
        <v>10.77</v>
      </c>
      <c r="P47" s="3">
        <v>1712.4</v>
      </c>
      <c r="Q47" s="3">
        <v>3.3548</v>
      </c>
      <c r="R47" s="3">
        <v>18.442499999999999</v>
      </c>
      <c r="S47" s="3" t="s">
        <v>38</v>
      </c>
      <c r="T47" s="3" t="s">
        <v>52</v>
      </c>
    </row>
    <row r="48" spans="1:20" x14ac:dyDescent="0.25">
      <c r="A48" s="2">
        <v>45</v>
      </c>
      <c r="B48" s="2">
        <v>2023</v>
      </c>
      <c r="C48" s="2" t="s">
        <v>22</v>
      </c>
      <c r="D48" s="2" t="s">
        <v>105</v>
      </c>
      <c r="E48" s="2" t="s">
        <v>33</v>
      </c>
      <c r="F48" s="2" t="s">
        <v>25</v>
      </c>
      <c r="G48" s="2" t="s">
        <v>89</v>
      </c>
      <c r="H48" s="2" t="s">
        <v>179</v>
      </c>
      <c r="I48" s="2" t="s">
        <v>180</v>
      </c>
      <c r="J48" s="2">
        <v>735.9</v>
      </c>
      <c r="K48" s="2" t="s">
        <v>29</v>
      </c>
      <c r="L48" s="2">
        <v>204.1</v>
      </c>
      <c r="M48" s="2">
        <v>150197.19</v>
      </c>
      <c r="N48" s="2">
        <v>4.4799999999999996E-3</v>
      </c>
      <c r="O48" s="2">
        <v>2.879</v>
      </c>
      <c r="P48" s="2">
        <v>2108.1</v>
      </c>
      <c r="Q48" s="2">
        <v>0.67290000000000005</v>
      </c>
      <c r="R48" s="2">
        <v>6.0692000000000004</v>
      </c>
      <c r="S48" s="2" t="s">
        <v>38</v>
      </c>
      <c r="T48" s="2" t="s">
        <v>63</v>
      </c>
    </row>
    <row r="49" spans="1:20" x14ac:dyDescent="0.25">
      <c r="A49" s="3">
        <v>46</v>
      </c>
      <c r="B49" s="3">
        <v>2023</v>
      </c>
      <c r="C49" s="3" t="s">
        <v>32</v>
      </c>
      <c r="D49" s="3" t="s">
        <v>105</v>
      </c>
      <c r="E49" s="3" t="s">
        <v>139</v>
      </c>
      <c r="F49" s="3" t="s">
        <v>48</v>
      </c>
      <c r="G49" s="3" t="s">
        <v>99</v>
      </c>
      <c r="H49" s="3" t="s">
        <v>181</v>
      </c>
      <c r="I49" s="3" t="s">
        <v>182</v>
      </c>
      <c r="J49" s="3">
        <v>158.4</v>
      </c>
      <c r="K49" s="3" t="s">
        <v>29</v>
      </c>
      <c r="L49" s="3">
        <v>176.2</v>
      </c>
      <c r="M49" s="3">
        <v>27910.080000000002</v>
      </c>
      <c r="N49" s="3">
        <v>6.1000000000000004E-3</v>
      </c>
      <c r="O49" s="3">
        <v>11.464</v>
      </c>
      <c r="P49" s="3">
        <v>4274.6000000000004</v>
      </c>
      <c r="Q49" s="3">
        <v>0.17030000000000001</v>
      </c>
      <c r="R49" s="3">
        <v>49.003999999999998</v>
      </c>
      <c r="S49" s="3" t="s">
        <v>38</v>
      </c>
      <c r="T49" s="3" t="s">
        <v>45</v>
      </c>
    </row>
    <row r="50" spans="1:20" x14ac:dyDescent="0.25">
      <c r="A50" s="2">
        <v>47</v>
      </c>
      <c r="B50" s="2">
        <v>2023</v>
      </c>
      <c r="C50" s="2" t="s">
        <v>39</v>
      </c>
      <c r="D50" s="2" t="s">
        <v>183</v>
      </c>
      <c r="E50" s="2" t="s">
        <v>54</v>
      </c>
      <c r="F50" s="2" t="s">
        <v>71</v>
      </c>
      <c r="G50" s="2" t="s">
        <v>72</v>
      </c>
      <c r="H50" s="2" t="s">
        <v>184</v>
      </c>
      <c r="I50" s="2" t="s">
        <v>185</v>
      </c>
      <c r="J50" s="2">
        <v>4414.8</v>
      </c>
      <c r="K50" s="2" t="s">
        <v>29</v>
      </c>
      <c r="L50" s="2">
        <v>15</v>
      </c>
      <c r="M50" s="2">
        <v>66222</v>
      </c>
      <c r="N50" s="2">
        <v>2.8900000000000002E-3</v>
      </c>
      <c r="O50" s="2">
        <v>5.15</v>
      </c>
      <c r="P50" s="2">
        <v>3411.8</v>
      </c>
      <c r="Q50" s="2">
        <v>0.19139999999999999</v>
      </c>
      <c r="R50" s="2">
        <v>17.570799999999998</v>
      </c>
      <c r="S50" s="2" t="s">
        <v>30</v>
      </c>
      <c r="T50" s="2" t="s">
        <v>63</v>
      </c>
    </row>
    <row r="51" spans="1:20" x14ac:dyDescent="0.25">
      <c r="A51" s="3">
        <v>48</v>
      </c>
      <c r="B51" s="3">
        <v>2023</v>
      </c>
      <c r="C51" s="3" t="s">
        <v>46</v>
      </c>
      <c r="D51" s="3" t="s">
        <v>183</v>
      </c>
      <c r="E51" s="3" t="s">
        <v>120</v>
      </c>
      <c r="F51" s="3" t="s">
        <v>81</v>
      </c>
      <c r="G51" s="3" t="s">
        <v>42</v>
      </c>
      <c r="H51" s="3" t="s">
        <v>186</v>
      </c>
      <c r="I51" s="3" t="s">
        <v>187</v>
      </c>
      <c r="J51" s="3">
        <v>5959.7</v>
      </c>
      <c r="K51" s="3" t="s">
        <v>29</v>
      </c>
      <c r="L51" s="3">
        <v>331.67</v>
      </c>
      <c r="M51" s="3">
        <v>1976653.7</v>
      </c>
      <c r="N51" s="3">
        <v>9.5E-4</v>
      </c>
      <c r="O51" s="3">
        <v>10.468999999999999</v>
      </c>
      <c r="P51" s="3">
        <v>2171.6</v>
      </c>
      <c r="Q51" s="3">
        <v>1.8777999999999999</v>
      </c>
      <c r="R51" s="3">
        <v>22.734500000000001</v>
      </c>
      <c r="S51" s="3" t="s">
        <v>38</v>
      </c>
      <c r="T51" s="3" t="s">
        <v>63</v>
      </c>
    </row>
    <row r="52" spans="1:20" x14ac:dyDescent="0.25">
      <c r="A52" s="2">
        <v>49</v>
      </c>
      <c r="B52" s="2">
        <v>2023</v>
      </c>
      <c r="C52" s="2" t="s">
        <v>22</v>
      </c>
      <c r="D52" s="2" t="s">
        <v>133</v>
      </c>
      <c r="E52" s="2" t="s">
        <v>54</v>
      </c>
      <c r="F52" s="2" t="s">
        <v>41</v>
      </c>
      <c r="G52" s="2" t="s">
        <v>167</v>
      </c>
      <c r="H52" s="2" t="s">
        <v>188</v>
      </c>
      <c r="I52" s="2" t="s">
        <v>189</v>
      </c>
      <c r="J52" s="2">
        <v>3335.8</v>
      </c>
      <c r="K52" s="2" t="s">
        <v>29</v>
      </c>
      <c r="L52" s="2">
        <v>380.73</v>
      </c>
      <c r="M52" s="2">
        <v>1270039.1299999999</v>
      </c>
      <c r="N52" s="2">
        <v>3.2200000000000002E-3</v>
      </c>
      <c r="O52" s="2">
        <v>10.067</v>
      </c>
      <c r="P52" s="2">
        <v>3772.4</v>
      </c>
      <c r="Q52" s="2">
        <v>4.0895000000000001</v>
      </c>
      <c r="R52" s="2">
        <v>37.976799999999997</v>
      </c>
      <c r="S52" s="2" t="s">
        <v>30</v>
      </c>
      <c r="T52" s="2" t="s">
        <v>45</v>
      </c>
    </row>
    <row r="53" spans="1:20" x14ac:dyDescent="0.25">
      <c r="A53" s="3">
        <v>50</v>
      </c>
      <c r="B53" s="3">
        <v>2023</v>
      </c>
      <c r="C53" s="3" t="s">
        <v>32</v>
      </c>
      <c r="D53" s="3" t="s">
        <v>53</v>
      </c>
      <c r="E53" s="3" t="s">
        <v>65</v>
      </c>
      <c r="F53" s="3" t="s">
        <v>66</v>
      </c>
      <c r="G53" s="3" t="s">
        <v>72</v>
      </c>
      <c r="H53" s="3" t="s">
        <v>190</v>
      </c>
      <c r="I53" s="3" t="s">
        <v>191</v>
      </c>
      <c r="J53" s="3">
        <v>2319.8000000000002</v>
      </c>
      <c r="K53" s="3" t="s">
        <v>29</v>
      </c>
      <c r="L53" s="3">
        <v>34.770000000000003</v>
      </c>
      <c r="M53" s="3">
        <v>80659.45</v>
      </c>
      <c r="N53" s="3">
        <v>7.6699999999999997E-3</v>
      </c>
      <c r="O53" s="3">
        <v>0.85699999999999998</v>
      </c>
      <c r="P53" s="3">
        <v>249.3</v>
      </c>
      <c r="Q53" s="3">
        <v>0.61870000000000003</v>
      </c>
      <c r="R53" s="3">
        <v>0.2137</v>
      </c>
      <c r="S53" s="3" t="s">
        <v>38</v>
      </c>
      <c r="T53" s="3" t="s">
        <v>63</v>
      </c>
    </row>
    <row r="54" spans="1:20" x14ac:dyDescent="0.25">
      <c r="A54" s="2">
        <v>51</v>
      </c>
      <c r="B54" s="2">
        <v>2023</v>
      </c>
      <c r="C54" s="2" t="s">
        <v>39</v>
      </c>
      <c r="D54" s="2" t="s">
        <v>183</v>
      </c>
      <c r="E54" s="2" t="s">
        <v>58</v>
      </c>
      <c r="F54" s="2" t="s">
        <v>25</v>
      </c>
      <c r="G54" s="2" t="s">
        <v>143</v>
      </c>
      <c r="H54" s="2" t="s">
        <v>192</v>
      </c>
      <c r="I54" s="2" t="s">
        <v>193</v>
      </c>
      <c r="J54" s="2">
        <v>6727.6</v>
      </c>
      <c r="K54" s="2" t="s">
        <v>29</v>
      </c>
      <c r="L54" s="2">
        <v>282.2</v>
      </c>
      <c r="M54" s="2">
        <v>1898528.72</v>
      </c>
      <c r="N54" s="2">
        <v>1.98E-3</v>
      </c>
      <c r="O54" s="2">
        <v>9.3190000000000008</v>
      </c>
      <c r="P54" s="2">
        <v>3512.4</v>
      </c>
      <c r="Q54" s="2">
        <v>3.7591000000000001</v>
      </c>
      <c r="R54" s="2">
        <v>32.732100000000003</v>
      </c>
      <c r="S54" s="2" t="s">
        <v>38</v>
      </c>
      <c r="T54" s="2" t="s">
        <v>31</v>
      </c>
    </row>
    <row r="55" spans="1:20" x14ac:dyDescent="0.25">
      <c r="A55" s="3">
        <v>52</v>
      </c>
      <c r="B55" s="3">
        <v>2023</v>
      </c>
      <c r="C55" s="3" t="s">
        <v>46</v>
      </c>
      <c r="D55" s="3" t="s">
        <v>95</v>
      </c>
      <c r="E55" s="3" t="s">
        <v>24</v>
      </c>
      <c r="F55" s="3" t="s">
        <v>25</v>
      </c>
      <c r="G55" s="3" t="s">
        <v>99</v>
      </c>
      <c r="H55" s="3" t="s">
        <v>194</v>
      </c>
      <c r="I55" s="3" t="s">
        <v>195</v>
      </c>
      <c r="J55" s="3">
        <v>5829</v>
      </c>
      <c r="K55" s="3" t="s">
        <v>29</v>
      </c>
      <c r="L55" s="3">
        <v>464.48</v>
      </c>
      <c r="M55" s="3">
        <v>2707453.92</v>
      </c>
      <c r="N55" s="3">
        <v>4.7299999999999998E-3</v>
      </c>
      <c r="O55" s="3">
        <v>4.8159999999999998</v>
      </c>
      <c r="P55" s="3">
        <v>4544.7</v>
      </c>
      <c r="Q55" s="3">
        <v>12.8063</v>
      </c>
      <c r="R55" s="3">
        <v>21.8873</v>
      </c>
      <c r="S55" s="3" t="s">
        <v>38</v>
      </c>
      <c r="T55" s="3" t="s">
        <v>31</v>
      </c>
    </row>
    <row r="56" spans="1:20" x14ac:dyDescent="0.25">
      <c r="A56" s="2">
        <v>53</v>
      </c>
      <c r="B56" s="2">
        <v>2023</v>
      </c>
      <c r="C56" s="2" t="s">
        <v>22</v>
      </c>
      <c r="D56" s="2" t="s">
        <v>57</v>
      </c>
      <c r="E56" s="2" t="s">
        <v>139</v>
      </c>
      <c r="F56" s="2" t="s">
        <v>172</v>
      </c>
      <c r="G56" s="2" t="s">
        <v>89</v>
      </c>
      <c r="H56" s="2" t="s">
        <v>196</v>
      </c>
      <c r="I56" s="2" t="s">
        <v>197</v>
      </c>
      <c r="J56" s="2">
        <v>7982.6</v>
      </c>
      <c r="K56" s="2" t="s">
        <v>29</v>
      </c>
      <c r="L56" s="2">
        <v>283.18</v>
      </c>
      <c r="M56" s="2">
        <v>2260512.67</v>
      </c>
      <c r="N56" s="2">
        <v>6.2E-4</v>
      </c>
      <c r="O56" s="2">
        <v>8.1069999999999993</v>
      </c>
      <c r="P56" s="2">
        <v>2687.1</v>
      </c>
      <c r="Q56" s="2">
        <v>1.4015</v>
      </c>
      <c r="R56" s="2">
        <v>21.784300000000002</v>
      </c>
      <c r="S56" s="2" t="s">
        <v>38</v>
      </c>
      <c r="T56" s="2" t="s">
        <v>31</v>
      </c>
    </row>
    <row r="57" spans="1:20" x14ac:dyDescent="0.25">
      <c r="A57" s="3">
        <v>54</v>
      </c>
      <c r="B57" s="3">
        <v>2023</v>
      </c>
      <c r="C57" s="3" t="s">
        <v>32</v>
      </c>
      <c r="D57" s="3" t="s">
        <v>183</v>
      </c>
      <c r="E57" s="3" t="s">
        <v>96</v>
      </c>
      <c r="F57" s="3" t="s">
        <v>48</v>
      </c>
      <c r="G57" s="3" t="s">
        <v>198</v>
      </c>
      <c r="H57" s="3" t="s">
        <v>199</v>
      </c>
      <c r="I57" s="3" t="s">
        <v>200</v>
      </c>
      <c r="J57" s="3">
        <v>4391.8999999999996</v>
      </c>
      <c r="K57" s="3" t="s">
        <v>29</v>
      </c>
      <c r="L57" s="3">
        <v>181.41</v>
      </c>
      <c r="M57" s="3">
        <v>796734.58</v>
      </c>
      <c r="N57" s="3">
        <v>7.1700000000000002E-3</v>
      </c>
      <c r="O57" s="3">
        <v>2.2589999999999999</v>
      </c>
      <c r="P57" s="3">
        <v>2325.6999999999998</v>
      </c>
      <c r="Q57" s="3">
        <v>5.7126000000000001</v>
      </c>
      <c r="R57" s="3">
        <v>5.2538</v>
      </c>
      <c r="S57" s="3" t="s">
        <v>38</v>
      </c>
      <c r="T57" s="3" t="s">
        <v>63</v>
      </c>
    </row>
    <row r="58" spans="1:20" x14ac:dyDescent="0.25">
      <c r="A58" s="2">
        <v>55</v>
      </c>
      <c r="B58" s="2">
        <v>2023</v>
      </c>
      <c r="C58" s="2" t="s">
        <v>39</v>
      </c>
      <c r="D58" s="2" t="s">
        <v>57</v>
      </c>
      <c r="E58" s="2" t="s">
        <v>117</v>
      </c>
      <c r="F58" s="2" t="s">
        <v>71</v>
      </c>
      <c r="G58" s="2" t="s">
        <v>99</v>
      </c>
      <c r="H58" s="2" t="s">
        <v>201</v>
      </c>
      <c r="I58" s="2" t="s">
        <v>171</v>
      </c>
      <c r="J58" s="2">
        <v>4412.2</v>
      </c>
      <c r="K58" s="2" t="s">
        <v>29</v>
      </c>
      <c r="L58" s="2">
        <v>365.65</v>
      </c>
      <c r="M58" s="2">
        <v>1613320.93</v>
      </c>
      <c r="N58" s="2">
        <v>2.3700000000000001E-3</v>
      </c>
      <c r="O58" s="2">
        <v>10.053000000000001</v>
      </c>
      <c r="P58" s="2">
        <v>4266</v>
      </c>
      <c r="Q58" s="2">
        <v>3.8235999999999999</v>
      </c>
      <c r="R58" s="2">
        <v>42.886099999999999</v>
      </c>
      <c r="S58" s="2" t="s">
        <v>38</v>
      </c>
      <c r="T58" s="2" t="s">
        <v>45</v>
      </c>
    </row>
    <row r="59" spans="1:20" x14ac:dyDescent="0.25">
      <c r="A59" s="3">
        <v>56</v>
      </c>
      <c r="B59" s="3">
        <v>2023</v>
      </c>
      <c r="C59" s="3" t="s">
        <v>46</v>
      </c>
      <c r="D59" s="3" t="s">
        <v>40</v>
      </c>
      <c r="E59" s="3" t="s">
        <v>117</v>
      </c>
      <c r="F59" s="3" t="s">
        <v>25</v>
      </c>
      <c r="G59" s="3" t="s">
        <v>198</v>
      </c>
      <c r="H59" s="3" t="s">
        <v>202</v>
      </c>
      <c r="I59" s="3" t="s">
        <v>203</v>
      </c>
      <c r="J59" s="3">
        <v>384.1</v>
      </c>
      <c r="K59" s="3" t="s">
        <v>29</v>
      </c>
      <c r="L59" s="3">
        <v>425.55</v>
      </c>
      <c r="M59" s="3">
        <v>163453.76000000001</v>
      </c>
      <c r="N59" s="3">
        <v>1.6999999999999999E-3</v>
      </c>
      <c r="O59" s="3">
        <v>9.6750000000000007</v>
      </c>
      <c r="P59" s="3">
        <v>1100</v>
      </c>
      <c r="Q59" s="3">
        <v>0.27789999999999998</v>
      </c>
      <c r="R59" s="3">
        <v>10.6425</v>
      </c>
      <c r="S59" s="3" t="s">
        <v>30</v>
      </c>
      <c r="T59" s="3" t="s">
        <v>52</v>
      </c>
    </row>
    <row r="60" spans="1:20" x14ac:dyDescent="0.25">
      <c r="A60" s="2">
        <v>57</v>
      </c>
      <c r="B60" s="2">
        <v>2023</v>
      </c>
      <c r="C60" s="2" t="s">
        <v>22</v>
      </c>
      <c r="D60" s="2" t="s">
        <v>102</v>
      </c>
      <c r="E60" s="2" t="s">
        <v>204</v>
      </c>
      <c r="F60" s="2" t="s">
        <v>66</v>
      </c>
      <c r="G60" s="2" t="s">
        <v>114</v>
      </c>
      <c r="H60" s="2" t="s">
        <v>205</v>
      </c>
      <c r="I60" s="2" t="s">
        <v>206</v>
      </c>
      <c r="J60" s="2">
        <v>947.6</v>
      </c>
      <c r="K60" s="2" t="s">
        <v>29</v>
      </c>
      <c r="L60" s="2">
        <v>360.18</v>
      </c>
      <c r="M60" s="2">
        <v>341306.57</v>
      </c>
      <c r="N60" s="2">
        <v>4.0600000000000002E-3</v>
      </c>
      <c r="O60" s="2">
        <v>8.4420000000000002</v>
      </c>
      <c r="P60" s="2">
        <v>3802.9</v>
      </c>
      <c r="Q60" s="2">
        <v>1.3856999999999999</v>
      </c>
      <c r="R60" s="2">
        <v>32.104100000000003</v>
      </c>
      <c r="S60" s="2" t="s">
        <v>38</v>
      </c>
      <c r="T60" s="2" t="s">
        <v>63</v>
      </c>
    </row>
    <row r="61" spans="1:20" x14ac:dyDescent="0.25">
      <c r="A61" s="3">
        <v>58</v>
      </c>
      <c r="B61" s="3">
        <v>2023</v>
      </c>
      <c r="C61" s="3" t="s">
        <v>32</v>
      </c>
      <c r="D61" s="3" t="s">
        <v>105</v>
      </c>
      <c r="E61" s="3" t="s">
        <v>96</v>
      </c>
      <c r="F61" s="3" t="s">
        <v>48</v>
      </c>
      <c r="G61" s="3" t="s">
        <v>67</v>
      </c>
      <c r="H61" s="3" t="s">
        <v>207</v>
      </c>
      <c r="I61" s="3" t="s">
        <v>208</v>
      </c>
      <c r="J61" s="3">
        <v>6948.7</v>
      </c>
      <c r="K61" s="3" t="s">
        <v>29</v>
      </c>
      <c r="L61" s="3">
        <v>153.44999999999999</v>
      </c>
      <c r="M61" s="3">
        <v>1066278.01</v>
      </c>
      <c r="N61" s="3">
        <v>4.7800000000000004E-3</v>
      </c>
      <c r="O61" s="3">
        <v>6.6059999999999999</v>
      </c>
      <c r="P61" s="3">
        <v>2392.6</v>
      </c>
      <c r="Q61" s="3">
        <v>5.0968</v>
      </c>
      <c r="R61" s="3">
        <v>15.8055</v>
      </c>
      <c r="S61" s="3" t="s">
        <v>38</v>
      </c>
      <c r="T61" s="3" t="s">
        <v>45</v>
      </c>
    </row>
    <row r="62" spans="1:20" x14ac:dyDescent="0.25">
      <c r="A62" s="2">
        <v>59</v>
      </c>
      <c r="B62" s="2">
        <v>2023</v>
      </c>
      <c r="C62" s="2" t="s">
        <v>39</v>
      </c>
      <c r="D62" s="2" t="s">
        <v>183</v>
      </c>
      <c r="E62" s="2" t="s">
        <v>65</v>
      </c>
      <c r="F62" s="2" t="s">
        <v>34</v>
      </c>
      <c r="G62" s="2" t="s">
        <v>167</v>
      </c>
      <c r="H62" s="2" t="s">
        <v>209</v>
      </c>
      <c r="I62" s="2" t="s">
        <v>210</v>
      </c>
      <c r="J62" s="2">
        <v>3135.6</v>
      </c>
      <c r="K62" s="2" t="s">
        <v>29</v>
      </c>
      <c r="L62" s="2">
        <v>115.65</v>
      </c>
      <c r="M62" s="2">
        <v>362632.14</v>
      </c>
      <c r="N62" s="2">
        <v>5.8500000000000002E-3</v>
      </c>
      <c r="O62" s="2">
        <v>9.0429999999999993</v>
      </c>
      <c r="P62" s="2">
        <v>1612</v>
      </c>
      <c r="Q62" s="2">
        <v>2.1214</v>
      </c>
      <c r="R62" s="2">
        <v>14.577299999999999</v>
      </c>
      <c r="S62" s="2" t="s">
        <v>38</v>
      </c>
      <c r="T62" s="2" t="s">
        <v>31</v>
      </c>
    </row>
    <row r="63" spans="1:20" x14ac:dyDescent="0.25">
      <c r="A63" s="3">
        <v>60</v>
      </c>
      <c r="B63" s="3">
        <v>2023</v>
      </c>
      <c r="C63" s="3" t="s">
        <v>46</v>
      </c>
      <c r="D63" s="3" t="s">
        <v>138</v>
      </c>
      <c r="E63" s="3" t="s">
        <v>117</v>
      </c>
      <c r="F63" s="3" t="s">
        <v>66</v>
      </c>
      <c r="G63" s="3" t="s">
        <v>106</v>
      </c>
      <c r="H63" s="3" t="s">
        <v>211</v>
      </c>
      <c r="I63" s="3" t="s">
        <v>158</v>
      </c>
      <c r="J63" s="3">
        <v>8343</v>
      </c>
      <c r="K63" s="3" t="s">
        <v>29</v>
      </c>
      <c r="L63" s="3">
        <v>148.47999999999999</v>
      </c>
      <c r="M63" s="3">
        <v>1238768.6399999999</v>
      </c>
      <c r="N63" s="3">
        <v>3.0799999999999998E-3</v>
      </c>
      <c r="O63" s="3">
        <v>8.6419999999999995</v>
      </c>
      <c r="P63" s="3">
        <v>1546.2</v>
      </c>
      <c r="Q63" s="3">
        <v>3.8153999999999999</v>
      </c>
      <c r="R63" s="3">
        <v>13.362299999999999</v>
      </c>
      <c r="S63" s="3" t="s">
        <v>38</v>
      </c>
      <c r="T63" s="3" t="s">
        <v>52</v>
      </c>
    </row>
    <row r="64" spans="1:20" x14ac:dyDescent="0.25">
      <c r="A64" s="2">
        <v>61</v>
      </c>
      <c r="B64" s="2">
        <v>2023</v>
      </c>
      <c r="C64" s="2" t="s">
        <v>22</v>
      </c>
      <c r="D64" s="2" t="s">
        <v>102</v>
      </c>
      <c r="E64" s="2" t="s">
        <v>204</v>
      </c>
      <c r="F64" s="2" t="s">
        <v>172</v>
      </c>
      <c r="G64" s="2" t="s">
        <v>112</v>
      </c>
      <c r="H64" s="2" t="s">
        <v>212</v>
      </c>
      <c r="I64" s="2" t="s">
        <v>213</v>
      </c>
      <c r="J64" s="2">
        <v>6414.9</v>
      </c>
      <c r="K64" s="2" t="s">
        <v>29</v>
      </c>
      <c r="L64" s="2">
        <v>376.52</v>
      </c>
      <c r="M64" s="2">
        <v>2415338.15</v>
      </c>
      <c r="N64" s="2">
        <v>1.09E-3</v>
      </c>
      <c r="O64" s="2">
        <v>3.77</v>
      </c>
      <c r="P64" s="2">
        <v>110.7</v>
      </c>
      <c r="Q64" s="2">
        <v>2.6326999999999998</v>
      </c>
      <c r="R64" s="2">
        <v>0.4173</v>
      </c>
      <c r="S64" s="2" t="s">
        <v>38</v>
      </c>
      <c r="T64" s="2" t="s">
        <v>63</v>
      </c>
    </row>
    <row r="65" spans="1:20" ht="24" x14ac:dyDescent="0.25">
      <c r="A65" s="3">
        <v>62</v>
      </c>
      <c r="B65" s="3">
        <v>2023</v>
      </c>
      <c r="C65" s="3" t="s">
        <v>32</v>
      </c>
      <c r="D65" s="3" t="s">
        <v>138</v>
      </c>
      <c r="E65" s="3" t="s">
        <v>110</v>
      </c>
      <c r="F65" s="3" t="s">
        <v>25</v>
      </c>
      <c r="G65" s="3" t="s">
        <v>49</v>
      </c>
      <c r="H65" s="3" t="s">
        <v>214</v>
      </c>
      <c r="I65" s="3" t="s">
        <v>215</v>
      </c>
      <c r="J65" s="3">
        <v>1229.5</v>
      </c>
      <c r="K65" s="3" t="s">
        <v>29</v>
      </c>
      <c r="L65" s="3">
        <v>33.14</v>
      </c>
      <c r="M65" s="3">
        <v>40745.629999999997</v>
      </c>
      <c r="N65" s="3">
        <v>4.0899999999999999E-3</v>
      </c>
      <c r="O65" s="3">
        <v>8.3940000000000001</v>
      </c>
      <c r="P65" s="3">
        <v>2906.3</v>
      </c>
      <c r="Q65" s="3">
        <v>0.1666</v>
      </c>
      <c r="R65" s="3">
        <v>24.395499999999998</v>
      </c>
      <c r="S65" s="3" t="s">
        <v>38</v>
      </c>
      <c r="T65" s="3" t="s">
        <v>31</v>
      </c>
    </row>
    <row r="66" spans="1:20" ht="24" x14ac:dyDescent="0.25">
      <c r="A66" s="2">
        <v>63</v>
      </c>
      <c r="B66" s="2">
        <v>2023</v>
      </c>
      <c r="C66" s="2" t="s">
        <v>39</v>
      </c>
      <c r="D66" s="2" t="s">
        <v>47</v>
      </c>
      <c r="E66" s="2" t="s">
        <v>204</v>
      </c>
      <c r="F66" s="2" t="s">
        <v>71</v>
      </c>
      <c r="G66" s="2" t="s">
        <v>49</v>
      </c>
      <c r="H66" s="2" t="s">
        <v>216</v>
      </c>
      <c r="I66" s="2" t="s">
        <v>37</v>
      </c>
      <c r="J66" s="2">
        <v>5624.9</v>
      </c>
      <c r="K66" s="2" t="s">
        <v>29</v>
      </c>
      <c r="L66" s="2">
        <v>208.38</v>
      </c>
      <c r="M66" s="2">
        <v>1172116.6599999999</v>
      </c>
      <c r="N66" s="2">
        <v>4.8900000000000002E-3</v>
      </c>
      <c r="O66" s="2">
        <v>9.42</v>
      </c>
      <c r="P66" s="2">
        <v>3111.2</v>
      </c>
      <c r="Q66" s="2">
        <v>5.7317</v>
      </c>
      <c r="R66" s="2">
        <v>29.307500000000001</v>
      </c>
      <c r="S66" s="2" t="s">
        <v>38</v>
      </c>
      <c r="T66" s="2" t="s">
        <v>45</v>
      </c>
    </row>
    <row r="67" spans="1:20" x14ac:dyDescent="0.25">
      <c r="A67" s="3">
        <v>64</v>
      </c>
      <c r="B67" s="3">
        <v>2023</v>
      </c>
      <c r="C67" s="3" t="s">
        <v>46</v>
      </c>
      <c r="D67" s="3" t="s">
        <v>95</v>
      </c>
      <c r="E67" s="3" t="s">
        <v>117</v>
      </c>
      <c r="F67" s="3" t="s">
        <v>41</v>
      </c>
      <c r="G67" s="3" t="s">
        <v>112</v>
      </c>
      <c r="H67" s="3" t="s">
        <v>217</v>
      </c>
      <c r="I67" s="3" t="s">
        <v>191</v>
      </c>
      <c r="J67" s="3">
        <v>5729.4</v>
      </c>
      <c r="K67" s="3" t="s">
        <v>29</v>
      </c>
      <c r="L67" s="3">
        <v>30.59</v>
      </c>
      <c r="M67" s="3">
        <v>175262.35</v>
      </c>
      <c r="N67" s="3">
        <v>7.6899999999999998E-3</v>
      </c>
      <c r="O67" s="3">
        <v>9.2710000000000008</v>
      </c>
      <c r="P67" s="3">
        <v>541.20000000000005</v>
      </c>
      <c r="Q67" s="3">
        <v>1.3478000000000001</v>
      </c>
      <c r="R67" s="3">
        <v>5.0175000000000001</v>
      </c>
      <c r="S67" s="3" t="s">
        <v>38</v>
      </c>
      <c r="T67" s="3" t="s">
        <v>31</v>
      </c>
    </row>
    <row r="68" spans="1:20" x14ac:dyDescent="0.25">
      <c r="A68" s="2">
        <v>65</v>
      </c>
      <c r="B68" s="2">
        <v>2023</v>
      </c>
      <c r="C68" s="2" t="s">
        <v>22</v>
      </c>
      <c r="D68" s="2" t="s">
        <v>159</v>
      </c>
      <c r="E68" s="2" t="s">
        <v>96</v>
      </c>
      <c r="F68" s="2" t="s">
        <v>81</v>
      </c>
      <c r="G68" s="2" t="s">
        <v>35</v>
      </c>
      <c r="H68" s="2" t="s">
        <v>218</v>
      </c>
      <c r="I68" s="2" t="s">
        <v>219</v>
      </c>
      <c r="J68" s="2">
        <v>1649.7</v>
      </c>
      <c r="K68" s="2" t="s">
        <v>29</v>
      </c>
      <c r="L68" s="2">
        <v>204.55</v>
      </c>
      <c r="M68" s="2">
        <v>337446.14</v>
      </c>
      <c r="N68" s="2">
        <v>5.6100000000000004E-3</v>
      </c>
      <c r="O68" s="2">
        <v>0.875</v>
      </c>
      <c r="P68" s="2">
        <v>2376.1</v>
      </c>
      <c r="Q68" s="2">
        <v>1.8931</v>
      </c>
      <c r="R68" s="2">
        <v>2.0790999999999999</v>
      </c>
      <c r="S68" s="2" t="s">
        <v>38</v>
      </c>
      <c r="T68" s="2" t="s">
        <v>45</v>
      </c>
    </row>
    <row r="69" spans="1:20" x14ac:dyDescent="0.25">
      <c r="A69" s="3">
        <v>66</v>
      </c>
      <c r="B69" s="3">
        <v>2023</v>
      </c>
      <c r="C69" s="3" t="s">
        <v>32</v>
      </c>
      <c r="D69" s="3" t="s">
        <v>23</v>
      </c>
      <c r="E69" s="3" t="s">
        <v>65</v>
      </c>
      <c r="F69" s="3" t="s">
        <v>59</v>
      </c>
      <c r="G69" s="3" t="s">
        <v>198</v>
      </c>
      <c r="H69" s="3" t="s">
        <v>220</v>
      </c>
      <c r="I69" s="3" t="s">
        <v>221</v>
      </c>
      <c r="J69" s="3">
        <v>7899.5</v>
      </c>
      <c r="K69" s="3" t="s">
        <v>29</v>
      </c>
      <c r="L69" s="3">
        <v>312.72000000000003</v>
      </c>
      <c r="M69" s="3">
        <v>2470331.64</v>
      </c>
      <c r="N69" s="3">
        <v>5.3899999999999998E-3</v>
      </c>
      <c r="O69" s="3">
        <v>5.3890000000000002</v>
      </c>
      <c r="P69" s="3">
        <v>4671.7</v>
      </c>
      <c r="Q69" s="3">
        <v>13.315099999999999</v>
      </c>
      <c r="R69" s="3">
        <v>25.175799999999999</v>
      </c>
      <c r="S69" s="3" t="s">
        <v>30</v>
      </c>
      <c r="T69" s="3" t="s">
        <v>31</v>
      </c>
    </row>
    <row r="70" spans="1:20" x14ac:dyDescent="0.25">
      <c r="A70" s="2">
        <v>67</v>
      </c>
      <c r="B70" s="2">
        <v>2023</v>
      </c>
      <c r="C70" s="2" t="s">
        <v>39</v>
      </c>
      <c r="D70" s="2" t="s">
        <v>84</v>
      </c>
      <c r="E70" s="2" t="s">
        <v>204</v>
      </c>
      <c r="F70" s="2" t="s">
        <v>81</v>
      </c>
      <c r="G70" s="2" t="s">
        <v>42</v>
      </c>
      <c r="H70" s="2" t="s">
        <v>222</v>
      </c>
      <c r="I70" s="2" t="s">
        <v>223</v>
      </c>
      <c r="J70" s="2">
        <v>1742.6</v>
      </c>
      <c r="K70" s="2" t="s">
        <v>29</v>
      </c>
      <c r="L70" s="2">
        <v>154.15</v>
      </c>
      <c r="M70" s="2">
        <v>268621.78999999998</v>
      </c>
      <c r="N70" s="2">
        <v>6.0699999999999999E-3</v>
      </c>
      <c r="O70" s="2">
        <v>3.819</v>
      </c>
      <c r="P70" s="2">
        <v>2867.6</v>
      </c>
      <c r="Q70" s="2">
        <v>1.6305000000000001</v>
      </c>
      <c r="R70" s="2">
        <v>10.9514</v>
      </c>
      <c r="S70" s="2" t="s">
        <v>38</v>
      </c>
      <c r="T70" s="2" t="s">
        <v>63</v>
      </c>
    </row>
    <row r="71" spans="1:20" x14ac:dyDescent="0.25">
      <c r="A71" s="3">
        <v>68</v>
      </c>
      <c r="B71" s="3">
        <v>2023</v>
      </c>
      <c r="C71" s="3" t="s">
        <v>46</v>
      </c>
      <c r="D71" s="3" t="s">
        <v>57</v>
      </c>
      <c r="E71" s="3" t="s">
        <v>65</v>
      </c>
      <c r="F71" s="3" t="s">
        <v>25</v>
      </c>
      <c r="G71" s="3" t="s">
        <v>121</v>
      </c>
      <c r="H71" s="3" t="s">
        <v>224</v>
      </c>
      <c r="I71" s="3" t="s">
        <v>225</v>
      </c>
      <c r="J71" s="3">
        <v>896.4</v>
      </c>
      <c r="K71" s="3" t="s">
        <v>29</v>
      </c>
      <c r="L71" s="3">
        <v>20.41</v>
      </c>
      <c r="M71" s="3">
        <v>18295.52</v>
      </c>
      <c r="N71" s="3">
        <v>3.63E-3</v>
      </c>
      <c r="O71" s="3">
        <v>3.379</v>
      </c>
      <c r="P71" s="3">
        <v>1645.5</v>
      </c>
      <c r="Q71" s="3">
        <v>6.6400000000000001E-2</v>
      </c>
      <c r="R71" s="3">
        <v>5.5601000000000003</v>
      </c>
      <c r="S71" s="3" t="s">
        <v>38</v>
      </c>
      <c r="T71" s="3" t="s">
        <v>31</v>
      </c>
    </row>
    <row r="72" spans="1:20" x14ac:dyDescent="0.25">
      <c r="A72" s="2">
        <v>69</v>
      </c>
      <c r="B72" s="2">
        <v>2023</v>
      </c>
      <c r="C72" s="2" t="s">
        <v>22</v>
      </c>
      <c r="D72" s="2" t="s">
        <v>166</v>
      </c>
      <c r="E72" s="2" t="s">
        <v>33</v>
      </c>
      <c r="F72" s="2" t="s">
        <v>71</v>
      </c>
      <c r="G72" s="2" t="s">
        <v>114</v>
      </c>
      <c r="H72" s="2" t="s">
        <v>226</v>
      </c>
      <c r="I72" s="2" t="s">
        <v>227</v>
      </c>
      <c r="J72" s="2">
        <v>7654.8</v>
      </c>
      <c r="K72" s="2" t="s">
        <v>29</v>
      </c>
      <c r="L72" s="2">
        <v>88.01</v>
      </c>
      <c r="M72" s="2">
        <v>673698.95</v>
      </c>
      <c r="N72" s="2">
        <v>4.3E-3</v>
      </c>
      <c r="O72" s="2">
        <v>3.6989999999999998</v>
      </c>
      <c r="P72" s="2">
        <v>2239</v>
      </c>
      <c r="Q72" s="2">
        <v>2.8969</v>
      </c>
      <c r="R72" s="2">
        <v>8.2820999999999998</v>
      </c>
      <c r="S72" s="2" t="s">
        <v>38</v>
      </c>
      <c r="T72" s="2" t="s">
        <v>63</v>
      </c>
    </row>
    <row r="73" spans="1:20" x14ac:dyDescent="0.25">
      <c r="A73" s="3">
        <v>70</v>
      </c>
      <c r="B73" s="3">
        <v>2023</v>
      </c>
      <c r="C73" s="3" t="s">
        <v>32</v>
      </c>
      <c r="D73" s="3" t="s">
        <v>159</v>
      </c>
      <c r="E73" s="3" t="s">
        <v>154</v>
      </c>
      <c r="F73" s="3" t="s">
        <v>111</v>
      </c>
      <c r="G73" s="3" t="s">
        <v>60</v>
      </c>
      <c r="H73" s="3" t="s">
        <v>228</v>
      </c>
      <c r="I73" s="3" t="s">
        <v>229</v>
      </c>
      <c r="J73" s="3">
        <v>3399.8</v>
      </c>
      <c r="K73" s="3" t="s">
        <v>29</v>
      </c>
      <c r="L73" s="3">
        <v>335.23</v>
      </c>
      <c r="M73" s="3">
        <v>1139714.95</v>
      </c>
      <c r="N73" s="3">
        <v>6.8999999999999999E-3</v>
      </c>
      <c r="O73" s="3">
        <v>8.4770000000000003</v>
      </c>
      <c r="P73" s="3">
        <v>1682.5</v>
      </c>
      <c r="Q73" s="3">
        <v>7.8639999999999999</v>
      </c>
      <c r="R73" s="3">
        <v>14.262600000000001</v>
      </c>
      <c r="S73" s="3" t="s">
        <v>38</v>
      </c>
      <c r="T73" s="3" t="s">
        <v>31</v>
      </c>
    </row>
    <row r="74" spans="1:20" x14ac:dyDescent="0.25">
      <c r="A74" s="2">
        <v>71</v>
      </c>
      <c r="B74" s="2">
        <v>2023</v>
      </c>
      <c r="C74" s="2" t="s">
        <v>39</v>
      </c>
      <c r="D74" s="2" t="s">
        <v>230</v>
      </c>
      <c r="E74" s="2" t="s">
        <v>154</v>
      </c>
      <c r="F74" s="2" t="s">
        <v>48</v>
      </c>
      <c r="G74" s="2" t="s">
        <v>35</v>
      </c>
      <c r="H74" s="2" t="s">
        <v>231</v>
      </c>
      <c r="I74" s="2" t="s">
        <v>232</v>
      </c>
      <c r="J74" s="2">
        <v>3213.7</v>
      </c>
      <c r="K74" s="2" t="s">
        <v>29</v>
      </c>
      <c r="L74" s="2">
        <v>161.97999999999999</v>
      </c>
      <c r="M74" s="2">
        <v>520555.13</v>
      </c>
      <c r="N74" s="2">
        <v>7.77E-3</v>
      </c>
      <c r="O74" s="2">
        <v>6.4180000000000001</v>
      </c>
      <c r="P74" s="2">
        <v>2050.6999999999998</v>
      </c>
      <c r="Q74" s="2">
        <v>4.0446999999999997</v>
      </c>
      <c r="R74" s="2">
        <v>13.1614</v>
      </c>
      <c r="S74" s="2" t="s">
        <v>30</v>
      </c>
      <c r="T74" s="2" t="s">
        <v>52</v>
      </c>
    </row>
    <row r="75" spans="1:20" ht="24" x14ac:dyDescent="0.25">
      <c r="A75" s="3">
        <v>72</v>
      </c>
      <c r="B75" s="3">
        <v>2023</v>
      </c>
      <c r="C75" s="3" t="s">
        <v>46</v>
      </c>
      <c r="D75" s="3" t="s">
        <v>133</v>
      </c>
      <c r="E75" s="3" t="s">
        <v>139</v>
      </c>
      <c r="F75" s="3" t="s">
        <v>59</v>
      </c>
      <c r="G75" s="3" t="s">
        <v>49</v>
      </c>
      <c r="H75" s="3" t="s">
        <v>233</v>
      </c>
      <c r="I75" s="3" t="s">
        <v>234</v>
      </c>
      <c r="J75" s="3">
        <v>5232.5</v>
      </c>
      <c r="K75" s="3" t="s">
        <v>29</v>
      </c>
      <c r="L75" s="3">
        <v>311.51</v>
      </c>
      <c r="M75" s="3">
        <v>1629976.07</v>
      </c>
      <c r="N75" s="3">
        <v>4.1399999999999996E-3</v>
      </c>
      <c r="O75" s="3">
        <v>1.0940000000000001</v>
      </c>
      <c r="P75" s="3">
        <v>2238.1</v>
      </c>
      <c r="Q75" s="3">
        <v>6.7481</v>
      </c>
      <c r="R75" s="3">
        <v>2.4485000000000001</v>
      </c>
      <c r="S75" s="3" t="s">
        <v>38</v>
      </c>
      <c r="T75" s="3" t="s">
        <v>31</v>
      </c>
    </row>
    <row r="76" spans="1:20" x14ac:dyDescent="0.25">
      <c r="A76" s="2">
        <v>73</v>
      </c>
      <c r="B76" s="2">
        <v>2023</v>
      </c>
      <c r="C76" s="2" t="s">
        <v>22</v>
      </c>
      <c r="D76" s="2" t="s">
        <v>230</v>
      </c>
      <c r="E76" s="2" t="s">
        <v>139</v>
      </c>
      <c r="F76" s="2" t="s">
        <v>111</v>
      </c>
      <c r="G76" s="2" t="s">
        <v>114</v>
      </c>
      <c r="H76" s="2" t="s">
        <v>235</v>
      </c>
      <c r="I76" s="2" t="s">
        <v>236</v>
      </c>
      <c r="J76" s="2">
        <v>385.8</v>
      </c>
      <c r="K76" s="2" t="s">
        <v>29</v>
      </c>
      <c r="L76" s="2">
        <v>315.2</v>
      </c>
      <c r="M76" s="2">
        <v>121604.16</v>
      </c>
      <c r="N76" s="2">
        <v>6.45E-3</v>
      </c>
      <c r="O76" s="2">
        <v>4.0739999999999998</v>
      </c>
      <c r="P76" s="2">
        <v>3563.4</v>
      </c>
      <c r="Q76" s="2">
        <v>0.7843</v>
      </c>
      <c r="R76" s="2">
        <v>14.517300000000001</v>
      </c>
      <c r="S76" s="2" t="s">
        <v>30</v>
      </c>
      <c r="T76" s="2" t="s">
        <v>63</v>
      </c>
    </row>
    <row r="77" spans="1:20" x14ac:dyDescent="0.25">
      <c r="A77" s="3">
        <v>74</v>
      </c>
      <c r="B77" s="3">
        <v>2023</v>
      </c>
      <c r="C77" s="3" t="s">
        <v>32</v>
      </c>
      <c r="D77" s="3" t="s">
        <v>133</v>
      </c>
      <c r="E77" s="3" t="s">
        <v>33</v>
      </c>
      <c r="F77" s="3" t="s">
        <v>71</v>
      </c>
      <c r="G77" s="3" t="s">
        <v>167</v>
      </c>
      <c r="H77" s="3" t="s">
        <v>237</v>
      </c>
      <c r="I77" s="3" t="s">
        <v>238</v>
      </c>
      <c r="J77" s="3">
        <v>9475.9</v>
      </c>
      <c r="K77" s="3" t="s">
        <v>29</v>
      </c>
      <c r="L77" s="3">
        <v>324.02999999999997</v>
      </c>
      <c r="M77" s="3">
        <v>3070475.88</v>
      </c>
      <c r="N77" s="3">
        <v>1.49E-3</v>
      </c>
      <c r="O77" s="3">
        <v>3.8559999999999999</v>
      </c>
      <c r="P77" s="3">
        <v>4666.6000000000004</v>
      </c>
      <c r="Q77" s="3">
        <v>4.5750000000000002</v>
      </c>
      <c r="R77" s="3">
        <v>17.994399999999999</v>
      </c>
      <c r="S77" s="3" t="s">
        <v>38</v>
      </c>
      <c r="T77" s="3" t="s">
        <v>52</v>
      </c>
    </row>
    <row r="78" spans="1:20" x14ac:dyDescent="0.25">
      <c r="A78" s="2">
        <v>75</v>
      </c>
      <c r="B78" s="2">
        <v>2023</v>
      </c>
      <c r="C78" s="2" t="s">
        <v>39</v>
      </c>
      <c r="D78" s="2" t="s">
        <v>133</v>
      </c>
      <c r="E78" s="2" t="s">
        <v>92</v>
      </c>
      <c r="F78" s="2" t="s">
        <v>111</v>
      </c>
      <c r="G78" s="2" t="s">
        <v>67</v>
      </c>
      <c r="H78" s="2" t="s">
        <v>239</v>
      </c>
      <c r="I78" s="2" t="s">
        <v>130</v>
      </c>
      <c r="J78" s="2">
        <v>3897.5</v>
      </c>
      <c r="K78" s="2" t="s">
        <v>29</v>
      </c>
      <c r="L78" s="2">
        <v>460.97</v>
      </c>
      <c r="M78" s="2">
        <v>1796630.58</v>
      </c>
      <c r="N78" s="2">
        <v>4.2100000000000002E-3</v>
      </c>
      <c r="O78" s="2">
        <v>10.436</v>
      </c>
      <c r="P78" s="2">
        <v>4402.7</v>
      </c>
      <c r="Q78" s="2">
        <v>7.5637999999999996</v>
      </c>
      <c r="R78" s="2">
        <v>45.946599999999997</v>
      </c>
      <c r="S78" s="2" t="s">
        <v>38</v>
      </c>
      <c r="T78" s="2" t="s">
        <v>31</v>
      </c>
    </row>
    <row r="79" spans="1:20" x14ac:dyDescent="0.25">
      <c r="A79" s="3">
        <v>76</v>
      </c>
      <c r="B79" s="3">
        <v>2023</v>
      </c>
      <c r="C79" s="3" t="s">
        <v>46</v>
      </c>
      <c r="D79" s="3" t="s">
        <v>138</v>
      </c>
      <c r="E79" s="3" t="s">
        <v>204</v>
      </c>
      <c r="F79" s="3" t="s">
        <v>48</v>
      </c>
      <c r="G79" s="3" t="s">
        <v>167</v>
      </c>
      <c r="H79" s="3" t="s">
        <v>240</v>
      </c>
      <c r="I79" s="3" t="s">
        <v>241</v>
      </c>
      <c r="J79" s="3">
        <v>2900.1</v>
      </c>
      <c r="K79" s="3" t="s">
        <v>29</v>
      </c>
      <c r="L79" s="3">
        <v>149.63</v>
      </c>
      <c r="M79" s="3">
        <v>433941.96</v>
      </c>
      <c r="N79" s="3">
        <v>4.8199999999999996E-3</v>
      </c>
      <c r="O79" s="3">
        <v>6.1310000000000002</v>
      </c>
      <c r="P79" s="3">
        <v>4994.6000000000004</v>
      </c>
      <c r="Q79" s="3">
        <v>2.0916000000000001</v>
      </c>
      <c r="R79" s="3">
        <v>30.6219</v>
      </c>
      <c r="S79" s="3" t="s">
        <v>38</v>
      </c>
      <c r="T79" s="3" t="s">
        <v>63</v>
      </c>
    </row>
    <row r="80" spans="1:20" x14ac:dyDescent="0.25">
      <c r="A80" s="2">
        <v>77</v>
      </c>
      <c r="B80" s="2">
        <v>2023</v>
      </c>
      <c r="C80" s="2" t="s">
        <v>22</v>
      </c>
      <c r="D80" s="2" t="s">
        <v>53</v>
      </c>
      <c r="E80" s="2" t="s">
        <v>54</v>
      </c>
      <c r="F80" s="2" t="s">
        <v>111</v>
      </c>
      <c r="G80" s="2" t="s">
        <v>106</v>
      </c>
      <c r="H80" s="2" t="s">
        <v>242</v>
      </c>
      <c r="I80" s="2" t="s">
        <v>243</v>
      </c>
      <c r="J80" s="2">
        <v>4607.8999999999996</v>
      </c>
      <c r="K80" s="2" t="s">
        <v>29</v>
      </c>
      <c r="L80" s="2">
        <v>161.22999999999999</v>
      </c>
      <c r="M80" s="2">
        <v>742931.72</v>
      </c>
      <c r="N80" s="2">
        <v>1.75E-3</v>
      </c>
      <c r="O80" s="2">
        <v>7.0759999999999996</v>
      </c>
      <c r="P80" s="2">
        <v>3502.6</v>
      </c>
      <c r="Q80" s="2">
        <v>1.3001</v>
      </c>
      <c r="R80" s="2">
        <v>24.784400000000002</v>
      </c>
      <c r="S80" s="2" t="s">
        <v>38</v>
      </c>
      <c r="T80" s="2" t="s">
        <v>63</v>
      </c>
    </row>
    <row r="81" spans="1:20" x14ac:dyDescent="0.25">
      <c r="A81" s="3">
        <v>78</v>
      </c>
      <c r="B81" s="3">
        <v>2023</v>
      </c>
      <c r="C81" s="3" t="s">
        <v>32</v>
      </c>
      <c r="D81" s="3" t="s">
        <v>64</v>
      </c>
      <c r="E81" s="3" t="s">
        <v>110</v>
      </c>
      <c r="F81" s="3" t="s">
        <v>48</v>
      </c>
      <c r="G81" s="3" t="s">
        <v>121</v>
      </c>
      <c r="H81" s="3" t="s">
        <v>244</v>
      </c>
      <c r="I81" s="3" t="s">
        <v>245</v>
      </c>
      <c r="J81" s="3">
        <v>3922.2</v>
      </c>
      <c r="K81" s="3" t="s">
        <v>29</v>
      </c>
      <c r="L81" s="3">
        <v>332.01</v>
      </c>
      <c r="M81" s="3">
        <v>1302209.6200000001</v>
      </c>
      <c r="N81" s="3">
        <v>6.62E-3</v>
      </c>
      <c r="O81" s="3">
        <v>6.1959999999999997</v>
      </c>
      <c r="P81" s="3">
        <v>4905</v>
      </c>
      <c r="Q81" s="3">
        <v>8.6205999999999996</v>
      </c>
      <c r="R81" s="3">
        <v>30.391400000000001</v>
      </c>
      <c r="S81" s="3" t="s">
        <v>30</v>
      </c>
      <c r="T81" s="3" t="s">
        <v>63</v>
      </c>
    </row>
    <row r="82" spans="1:20" x14ac:dyDescent="0.25">
      <c r="A82" s="2">
        <v>79</v>
      </c>
      <c r="B82" s="2">
        <v>2023</v>
      </c>
      <c r="C82" s="2" t="s">
        <v>39</v>
      </c>
      <c r="D82" s="2" t="s">
        <v>138</v>
      </c>
      <c r="E82" s="2" t="s">
        <v>24</v>
      </c>
      <c r="F82" s="2" t="s">
        <v>71</v>
      </c>
      <c r="G82" s="2" t="s">
        <v>198</v>
      </c>
      <c r="H82" s="2" t="s">
        <v>246</v>
      </c>
      <c r="I82" s="2" t="s">
        <v>247</v>
      </c>
      <c r="J82" s="2">
        <v>1087.0999999999999</v>
      </c>
      <c r="K82" s="2" t="s">
        <v>29</v>
      </c>
      <c r="L82" s="2">
        <v>455.27</v>
      </c>
      <c r="M82" s="2">
        <v>494924.02</v>
      </c>
      <c r="N82" s="2">
        <v>4.2000000000000002E-4</v>
      </c>
      <c r="O82" s="2">
        <v>10.516</v>
      </c>
      <c r="P82" s="2">
        <v>763.6</v>
      </c>
      <c r="Q82" s="2">
        <v>0.2079</v>
      </c>
      <c r="R82" s="2">
        <v>8.0299999999999994</v>
      </c>
      <c r="S82" s="2" t="s">
        <v>38</v>
      </c>
      <c r="T82" s="2" t="s">
        <v>31</v>
      </c>
    </row>
    <row r="83" spans="1:20" x14ac:dyDescent="0.25">
      <c r="A83" s="3">
        <v>80</v>
      </c>
      <c r="B83" s="3">
        <v>2023</v>
      </c>
      <c r="C83" s="3" t="s">
        <v>46</v>
      </c>
      <c r="D83" s="3" t="s">
        <v>102</v>
      </c>
      <c r="E83" s="3" t="s">
        <v>54</v>
      </c>
      <c r="F83" s="3" t="s">
        <v>48</v>
      </c>
      <c r="G83" s="3" t="s">
        <v>106</v>
      </c>
      <c r="H83" s="3" t="s">
        <v>248</v>
      </c>
      <c r="I83" s="3" t="s">
        <v>249</v>
      </c>
      <c r="J83" s="3">
        <v>8532.5</v>
      </c>
      <c r="K83" s="3" t="s">
        <v>29</v>
      </c>
      <c r="L83" s="3">
        <v>426.24</v>
      </c>
      <c r="M83" s="3">
        <v>3636892.8</v>
      </c>
      <c r="N83" s="3">
        <v>6.9199999999999999E-3</v>
      </c>
      <c r="O83" s="3">
        <v>4.1420000000000003</v>
      </c>
      <c r="P83" s="3">
        <v>1931</v>
      </c>
      <c r="Q83" s="3">
        <v>25.167300000000001</v>
      </c>
      <c r="R83" s="3">
        <v>7.9981999999999998</v>
      </c>
      <c r="S83" s="3" t="s">
        <v>30</v>
      </c>
      <c r="T83" s="3" t="s">
        <v>52</v>
      </c>
    </row>
    <row r="84" spans="1:20" x14ac:dyDescent="0.25">
      <c r="A84" s="2">
        <v>81</v>
      </c>
      <c r="B84" s="2">
        <v>2023</v>
      </c>
      <c r="C84" s="2" t="s">
        <v>22</v>
      </c>
      <c r="D84" s="2" t="s">
        <v>84</v>
      </c>
      <c r="E84" s="2" t="s">
        <v>92</v>
      </c>
      <c r="F84" s="2" t="s">
        <v>41</v>
      </c>
      <c r="G84" s="2" t="s">
        <v>35</v>
      </c>
      <c r="H84" s="2" t="s">
        <v>250</v>
      </c>
      <c r="I84" s="2" t="s">
        <v>251</v>
      </c>
      <c r="J84" s="2">
        <v>6348.5</v>
      </c>
      <c r="K84" s="2" t="s">
        <v>29</v>
      </c>
      <c r="L84" s="2">
        <v>460.5</v>
      </c>
      <c r="M84" s="2">
        <v>2923484.25</v>
      </c>
      <c r="N84" s="2">
        <v>7.9799999999999992E-3</v>
      </c>
      <c r="O84" s="2">
        <v>5.4909999999999997</v>
      </c>
      <c r="P84" s="2">
        <v>3746.5</v>
      </c>
      <c r="Q84" s="2">
        <v>23.3294</v>
      </c>
      <c r="R84" s="2">
        <v>20.571999999999999</v>
      </c>
      <c r="S84" s="2" t="s">
        <v>38</v>
      </c>
      <c r="T84" s="2" t="s">
        <v>31</v>
      </c>
    </row>
    <row r="85" spans="1:20" x14ac:dyDescent="0.25">
      <c r="A85" s="3">
        <v>82</v>
      </c>
      <c r="B85" s="3">
        <v>2023</v>
      </c>
      <c r="C85" s="3" t="s">
        <v>32</v>
      </c>
      <c r="D85" s="3" t="s">
        <v>252</v>
      </c>
      <c r="E85" s="3" t="s">
        <v>33</v>
      </c>
      <c r="F85" s="3" t="s">
        <v>25</v>
      </c>
      <c r="G85" s="3" t="s">
        <v>112</v>
      </c>
      <c r="H85" s="3" t="s">
        <v>253</v>
      </c>
      <c r="I85" s="3" t="s">
        <v>254</v>
      </c>
      <c r="J85" s="3">
        <v>555.29999999999995</v>
      </c>
      <c r="K85" s="3" t="s">
        <v>29</v>
      </c>
      <c r="L85" s="3">
        <v>398.17</v>
      </c>
      <c r="M85" s="3">
        <v>221103.8</v>
      </c>
      <c r="N85" s="3">
        <v>2.5600000000000002E-3</v>
      </c>
      <c r="O85" s="3">
        <v>2.1739999999999999</v>
      </c>
      <c r="P85" s="3">
        <v>1905.5</v>
      </c>
      <c r="Q85" s="3">
        <v>0.56599999999999995</v>
      </c>
      <c r="R85" s="3">
        <v>4.1425999999999998</v>
      </c>
      <c r="S85" s="3" t="s">
        <v>38</v>
      </c>
      <c r="T85" s="3" t="s">
        <v>31</v>
      </c>
    </row>
    <row r="86" spans="1:20" x14ac:dyDescent="0.25">
      <c r="A86" s="2">
        <v>83</v>
      </c>
      <c r="B86" s="2">
        <v>2023</v>
      </c>
      <c r="C86" s="2" t="s">
        <v>39</v>
      </c>
      <c r="D86" s="2" t="s">
        <v>53</v>
      </c>
      <c r="E86" s="2" t="s">
        <v>204</v>
      </c>
      <c r="F86" s="2" t="s">
        <v>81</v>
      </c>
      <c r="G86" s="2" t="s">
        <v>35</v>
      </c>
      <c r="H86" s="2" t="s">
        <v>255</v>
      </c>
      <c r="I86" s="2" t="s">
        <v>256</v>
      </c>
      <c r="J86" s="2">
        <v>6134</v>
      </c>
      <c r="K86" s="2" t="s">
        <v>29</v>
      </c>
      <c r="L86" s="2">
        <v>191.58</v>
      </c>
      <c r="M86" s="2">
        <v>1175151.72</v>
      </c>
      <c r="N86" s="2">
        <v>5.5599999999999998E-3</v>
      </c>
      <c r="O86" s="2">
        <v>7.2060000000000004</v>
      </c>
      <c r="P86" s="2">
        <v>2513.5</v>
      </c>
      <c r="Q86" s="2">
        <v>6.5338000000000003</v>
      </c>
      <c r="R86" s="2">
        <v>18.112300000000001</v>
      </c>
      <c r="S86" s="2" t="s">
        <v>30</v>
      </c>
      <c r="T86" s="2" t="s">
        <v>63</v>
      </c>
    </row>
    <row r="87" spans="1:20" x14ac:dyDescent="0.25">
      <c r="A87" s="3">
        <v>84</v>
      </c>
      <c r="B87" s="3">
        <v>2023</v>
      </c>
      <c r="C87" s="3" t="s">
        <v>46</v>
      </c>
      <c r="D87" s="3" t="s">
        <v>166</v>
      </c>
      <c r="E87" s="3" t="s">
        <v>117</v>
      </c>
      <c r="F87" s="3" t="s">
        <v>111</v>
      </c>
      <c r="G87" s="3" t="s">
        <v>198</v>
      </c>
      <c r="H87" s="3" t="s">
        <v>257</v>
      </c>
      <c r="I87" s="3" t="s">
        <v>258</v>
      </c>
      <c r="J87" s="3">
        <v>9022</v>
      </c>
      <c r="K87" s="3" t="s">
        <v>29</v>
      </c>
      <c r="L87" s="3">
        <v>338.97</v>
      </c>
      <c r="M87" s="3">
        <v>3058187.34</v>
      </c>
      <c r="N87" s="3">
        <v>1.5200000000000001E-3</v>
      </c>
      <c r="O87" s="3">
        <v>4.4740000000000002</v>
      </c>
      <c r="P87" s="3">
        <v>2236.6</v>
      </c>
      <c r="Q87" s="3">
        <v>4.6483999999999996</v>
      </c>
      <c r="R87" s="3">
        <v>10.006500000000001</v>
      </c>
      <c r="S87" s="3" t="s">
        <v>38</v>
      </c>
      <c r="T87" s="3" t="s">
        <v>52</v>
      </c>
    </row>
    <row r="88" spans="1:20" x14ac:dyDescent="0.25">
      <c r="A88" s="2">
        <v>85</v>
      </c>
      <c r="B88" s="2">
        <v>2023</v>
      </c>
      <c r="C88" s="2" t="s">
        <v>22</v>
      </c>
      <c r="D88" s="2" t="s">
        <v>159</v>
      </c>
      <c r="E88" s="2" t="s">
        <v>96</v>
      </c>
      <c r="F88" s="2" t="s">
        <v>81</v>
      </c>
      <c r="G88" s="2" t="s">
        <v>89</v>
      </c>
      <c r="H88" s="2" t="s">
        <v>259</v>
      </c>
      <c r="I88" s="2" t="s">
        <v>163</v>
      </c>
      <c r="J88" s="2">
        <v>9993.7999999999993</v>
      </c>
      <c r="K88" s="2" t="s">
        <v>29</v>
      </c>
      <c r="L88" s="2">
        <v>426.74</v>
      </c>
      <c r="M88" s="2">
        <v>4264754.21</v>
      </c>
      <c r="N88" s="2">
        <v>1.1199999999999999E-3</v>
      </c>
      <c r="O88" s="2">
        <v>4.6280000000000001</v>
      </c>
      <c r="P88" s="2">
        <v>1937.8</v>
      </c>
      <c r="Q88" s="2">
        <v>4.7765000000000004</v>
      </c>
      <c r="R88" s="2">
        <v>8.9680999999999997</v>
      </c>
      <c r="S88" s="2" t="s">
        <v>38</v>
      </c>
      <c r="T88" s="2" t="s">
        <v>45</v>
      </c>
    </row>
    <row r="89" spans="1:20" x14ac:dyDescent="0.25">
      <c r="A89" s="3">
        <v>86</v>
      </c>
      <c r="B89" s="3">
        <v>2023</v>
      </c>
      <c r="C89" s="3" t="s">
        <v>32</v>
      </c>
      <c r="D89" s="3" t="s">
        <v>102</v>
      </c>
      <c r="E89" s="3" t="s">
        <v>54</v>
      </c>
      <c r="F89" s="3" t="s">
        <v>81</v>
      </c>
      <c r="G89" s="3" t="s">
        <v>99</v>
      </c>
      <c r="H89" s="3" t="s">
        <v>260</v>
      </c>
      <c r="I89" s="3" t="s">
        <v>261</v>
      </c>
      <c r="J89" s="3">
        <v>180.2</v>
      </c>
      <c r="K89" s="3" t="s">
        <v>29</v>
      </c>
      <c r="L89" s="3">
        <v>432.6</v>
      </c>
      <c r="M89" s="3">
        <v>77954.52</v>
      </c>
      <c r="N89" s="3">
        <v>6.2899999999999996E-3</v>
      </c>
      <c r="O89" s="3">
        <v>10.972</v>
      </c>
      <c r="P89" s="3">
        <v>4869.3</v>
      </c>
      <c r="Q89" s="3">
        <v>0.49030000000000001</v>
      </c>
      <c r="R89" s="3">
        <v>53.426000000000002</v>
      </c>
      <c r="S89" s="3" t="s">
        <v>38</v>
      </c>
      <c r="T89" s="3" t="s">
        <v>52</v>
      </c>
    </row>
    <row r="90" spans="1:20" x14ac:dyDescent="0.25">
      <c r="A90" s="2">
        <v>87</v>
      </c>
      <c r="B90" s="2">
        <v>2023</v>
      </c>
      <c r="C90" s="2" t="s">
        <v>39</v>
      </c>
      <c r="D90" s="2" t="s">
        <v>138</v>
      </c>
      <c r="E90" s="2" t="s">
        <v>154</v>
      </c>
      <c r="F90" s="2" t="s">
        <v>41</v>
      </c>
      <c r="G90" s="2" t="s">
        <v>106</v>
      </c>
      <c r="H90" s="2" t="s">
        <v>262</v>
      </c>
      <c r="I90" s="2" t="s">
        <v>263</v>
      </c>
      <c r="J90" s="2">
        <v>6402.5</v>
      </c>
      <c r="K90" s="2" t="s">
        <v>29</v>
      </c>
      <c r="L90" s="2">
        <v>310.64</v>
      </c>
      <c r="M90" s="2">
        <v>1988872.6</v>
      </c>
      <c r="N90" s="2">
        <v>5.5199999999999997E-3</v>
      </c>
      <c r="O90" s="2">
        <v>8.0809999999999995</v>
      </c>
      <c r="P90" s="2">
        <v>3618.6</v>
      </c>
      <c r="Q90" s="2">
        <v>10.9786</v>
      </c>
      <c r="R90" s="2">
        <v>29.241900000000001</v>
      </c>
      <c r="S90" s="2" t="s">
        <v>38</v>
      </c>
      <c r="T90" s="2" t="s">
        <v>31</v>
      </c>
    </row>
    <row r="91" spans="1:20" x14ac:dyDescent="0.25">
      <c r="A91" s="3">
        <v>88</v>
      </c>
      <c r="B91" s="3">
        <v>2023</v>
      </c>
      <c r="C91" s="3" t="s">
        <v>46</v>
      </c>
      <c r="D91" s="3" t="s">
        <v>183</v>
      </c>
      <c r="E91" s="3" t="s">
        <v>65</v>
      </c>
      <c r="F91" s="3" t="s">
        <v>59</v>
      </c>
      <c r="G91" s="3" t="s">
        <v>60</v>
      </c>
      <c r="H91" s="3" t="s">
        <v>264</v>
      </c>
      <c r="I91" s="3" t="s">
        <v>265</v>
      </c>
      <c r="J91" s="3">
        <v>5837.8</v>
      </c>
      <c r="K91" s="3" t="s">
        <v>29</v>
      </c>
      <c r="L91" s="3">
        <v>366.31</v>
      </c>
      <c r="M91" s="3">
        <v>2138444.52</v>
      </c>
      <c r="N91" s="3">
        <v>9.8999999999999999E-4</v>
      </c>
      <c r="O91" s="3">
        <v>9.0960000000000001</v>
      </c>
      <c r="P91" s="3">
        <v>1510.8</v>
      </c>
      <c r="Q91" s="3">
        <v>2.1171000000000002</v>
      </c>
      <c r="R91" s="3">
        <v>13.7422</v>
      </c>
      <c r="S91" s="3" t="s">
        <v>38</v>
      </c>
      <c r="T91" s="3" t="s">
        <v>52</v>
      </c>
    </row>
    <row r="92" spans="1:20" x14ac:dyDescent="0.25">
      <c r="A92" s="2">
        <v>89</v>
      </c>
      <c r="B92" s="2">
        <v>2023</v>
      </c>
      <c r="C92" s="2" t="s">
        <v>22</v>
      </c>
      <c r="D92" s="2" t="s">
        <v>40</v>
      </c>
      <c r="E92" s="2" t="s">
        <v>92</v>
      </c>
      <c r="F92" s="2" t="s">
        <v>41</v>
      </c>
      <c r="G92" s="2" t="s">
        <v>35</v>
      </c>
      <c r="H92" s="2" t="s">
        <v>266</v>
      </c>
      <c r="I92" s="2" t="s">
        <v>267</v>
      </c>
      <c r="J92" s="2">
        <v>2644</v>
      </c>
      <c r="K92" s="2" t="s">
        <v>29</v>
      </c>
      <c r="L92" s="2">
        <v>412.43</v>
      </c>
      <c r="M92" s="2">
        <v>1090464.92</v>
      </c>
      <c r="N92" s="2">
        <v>4.0099999999999997E-3</v>
      </c>
      <c r="O92" s="2">
        <v>9.0850000000000009</v>
      </c>
      <c r="P92" s="2">
        <v>4042.1</v>
      </c>
      <c r="Q92" s="2">
        <v>4.3727999999999998</v>
      </c>
      <c r="R92" s="2">
        <v>36.722499999999997</v>
      </c>
      <c r="S92" s="2" t="s">
        <v>38</v>
      </c>
      <c r="T92" s="2" t="s">
        <v>52</v>
      </c>
    </row>
    <row r="93" spans="1:20" x14ac:dyDescent="0.25">
      <c r="A93" s="3">
        <v>90</v>
      </c>
      <c r="B93" s="3">
        <v>2023</v>
      </c>
      <c r="C93" s="3" t="s">
        <v>32</v>
      </c>
      <c r="D93" s="3" t="s">
        <v>75</v>
      </c>
      <c r="E93" s="3" t="s">
        <v>24</v>
      </c>
      <c r="F93" s="3" t="s">
        <v>111</v>
      </c>
      <c r="G93" s="3" t="s">
        <v>89</v>
      </c>
      <c r="H93" s="3" t="s">
        <v>268</v>
      </c>
      <c r="I93" s="3" t="s">
        <v>74</v>
      </c>
      <c r="J93" s="3">
        <v>8615.4</v>
      </c>
      <c r="K93" s="3" t="s">
        <v>29</v>
      </c>
      <c r="L93" s="3">
        <v>362.25</v>
      </c>
      <c r="M93" s="3">
        <v>3120928.65</v>
      </c>
      <c r="N93" s="3">
        <v>7.8499999999999993E-3</v>
      </c>
      <c r="O93" s="3">
        <v>9.7530000000000001</v>
      </c>
      <c r="P93" s="3">
        <v>4838</v>
      </c>
      <c r="Q93" s="3">
        <v>24.499300000000002</v>
      </c>
      <c r="R93" s="3">
        <v>47.185000000000002</v>
      </c>
      <c r="S93" s="3" t="s">
        <v>30</v>
      </c>
      <c r="T93" s="3" t="s">
        <v>63</v>
      </c>
    </row>
    <row r="94" spans="1:20" x14ac:dyDescent="0.25">
      <c r="A94" s="2">
        <v>91</v>
      </c>
      <c r="B94" s="2">
        <v>2023</v>
      </c>
      <c r="C94" s="2" t="s">
        <v>39</v>
      </c>
      <c r="D94" s="2" t="s">
        <v>75</v>
      </c>
      <c r="E94" s="2" t="s">
        <v>24</v>
      </c>
      <c r="F94" s="2" t="s">
        <v>34</v>
      </c>
      <c r="G94" s="2" t="s">
        <v>167</v>
      </c>
      <c r="H94" s="2" t="s">
        <v>269</v>
      </c>
      <c r="I94" s="2" t="s">
        <v>165</v>
      </c>
      <c r="J94" s="2">
        <v>3749</v>
      </c>
      <c r="K94" s="2" t="s">
        <v>29</v>
      </c>
      <c r="L94" s="2">
        <v>374.63</v>
      </c>
      <c r="M94" s="2">
        <v>1404487.87</v>
      </c>
      <c r="N94" s="2">
        <v>2.32E-3</v>
      </c>
      <c r="O94" s="2">
        <v>7.843</v>
      </c>
      <c r="P94" s="2">
        <v>1936.1</v>
      </c>
      <c r="Q94" s="2">
        <v>3.2584</v>
      </c>
      <c r="R94" s="2">
        <v>15.184799999999999</v>
      </c>
      <c r="S94" s="2" t="s">
        <v>38</v>
      </c>
      <c r="T94" s="2" t="s">
        <v>52</v>
      </c>
    </row>
    <row r="95" spans="1:20" x14ac:dyDescent="0.25">
      <c r="A95" s="3">
        <v>92</v>
      </c>
      <c r="B95" s="3">
        <v>2023</v>
      </c>
      <c r="C95" s="3" t="s">
        <v>46</v>
      </c>
      <c r="D95" s="3" t="s">
        <v>84</v>
      </c>
      <c r="E95" s="3" t="s">
        <v>110</v>
      </c>
      <c r="F95" s="3" t="s">
        <v>66</v>
      </c>
      <c r="G95" s="3" t="s">
        <v>106</v>
      </c>
      <c r="H95" s="3" t="s">
        <v>270</v>
      </c>
      <c r="I95" s="3" t="s">
        <v>161</v>
      </c>
      <c r="J95" s="3">
        <v>6511.8</v>
      </c>
      <c r="K95" s="3" t="s">
        <v>29</v>
      </c>
      <c r="L95" s="3">
        <v>317.88</v>
      </c>
      <c r="M95" s="3">
        <v>2069970.98</v>
      </c>
      <c r="N95" s="3">
        <v>3.8700000000000002E-3</v>
      </c>
      <c r="O95" s="3">
        <v>7.9660000000000002</v>
      </c>
      <c r="P95" s="3">
        <v>3520.3</v>
      </c>
      <c r="Q95" s="3">
        <v>8.0107999999999997</v>
      </c>
      <c r="R95" s="3">
        <v>28.0427</v>
      </c>
      <c r="S95" s="3" t="s">
        <v>38</v>
      </c>
      <c r="T95" s="3" t="s">
        <v>31</v>
      </c>
    </row>
    <row r="96" spans="1:20" x14ac:dyDescent="0.25">
      <c r="A96" s="2">
        <v>93</v>
      </c>
      <c r="B96" s="2">
        <v>2023</v>
      </c>
      <c r="C96" s="2" t="s">
        <v>22</v>
      </c>
      <c r="D96" s="2" t="s">
        <v>23</v>
      </c>
      <c r="E96" s="2" t="s">
        <v>33</v>
      </c>
      <c r="F96" s="2" t="s">
        <v>25</v>
      </c>
      <c r="G96" s="2" t="s">
        <v>72</v>
      </c>
      <c r="H96" s="2" t="s">
        <v>271</v>
      </c>
      <c r="I96" s="2" t="s">
        <v>272</v>
      </c>
      <c r="J96" s="2">
        <v>1062.2</v>
      </c>
      <c r="K96" s="2" t="s">
        <v>29</v>
      </c>
      <c r="L96" s="2">
        <v>443.69</v>
      </c>
      <c r="M96" s="2">
        <v>471287.52</v>
      </c>
      <c r="N96" s="2">
        <v>1.34E-3</v>
      </c>
      <c r="O96" s="2">
        <v>8.2110000000000003</v>
      </c>
      <c r="P96" s="2">
        <v>2295.5</v>
      </c>
      <c r="Q96" s="2">
        <v>0.63149999999999995</v>
      </c>
      <c r="R96" s="2">
        <v>18.848400000000002</v>
      </c>
      <c r="S96" s="2" t="s">
        <v>30</v>
      </c>
      <c r="T96" s="2" t="s">
        <v>63</v>
      </c>
    </row>
    <row r="97" spans="1:20" x14ac:dyDescent="0.25">
      <c r="A97" s="3">
        <v>94</v>
      </c>
      <c r="B97" s="3">
        <v>2023</v>
      </c>
      <c r="C97" s="3" t="s">
        <v>32</v>
      </c>
      <c r="D97" s="3" t="s">
        <v>109</v>
      </c>
      <c r="E97" s="3" t="s">
        <v>65</v>
      </c>
      <c r="F97" s="3" t="s">
        <v>172</v>
      </c>
      <c r="G97" s="3" t="s">
        <v>143</v>
      </c>
      <c r="H97" s="3" t="s">
        <v>273</v>
      </c>
      <c r="I97" s="3" t="s">
        <v>274</v>
      </c>
      <c r="J97" s="3">
        <v>6195</v>
      </c>
      <c r="K97" s="3" t="s">
        <v>29</v>
      </c>
      <c r="L97" s="3">
        <v>469.56</v>
      </c>
      <c r="M97" s="3">
        <v>2908924.2</v>
      </c>
      <c r="N97" s="3">
        <v>2.4499999999999999E-3</v>
      </c>
      <c r="O97" s="3">
        <v>2.9990000000000001</v>
      </c>
      <c r="P97" s="3">
        <v>3466.9</v>
      </c>
      <c r="Q97" s="3">
        <v>7.1269</v>
      </c>
      <c r="R97" s="3">
        <v>10.3972</v>
      </c>
      <c r="S97" s="3" t="s">
        <v>38</v>
      </c>
      <c r="T97" s="3" t="s">
        <v>45</v>
      </c>
    </row>
    <row r="98" spans="1:20" x14ac:dyDescent="0.25">
      <c r="A98" s="2">
        <v>95</v>
      </c>
      <c r="B98" s="2">
        <v>2023</v>
      </c>
      <c r="C98" s="2" t="s">
        <v>39</v>
      </c>
      <c r="D98" s="2" t="s">
        <v>57</v>
      </c>
      <c r="E98" s="2" t="s">
        <v>154</v>
      </c>
      <c r="F98" s="2" t="s">
        <v>34</v>
      </c>
      <c r="G98" s="2" t="s">
        <v>89</v>
      </c>
      <c r="H98" s="2" t="s">
        <v>275</v>
      </c>
      <c r="I98" s="2" t="s">
        <v>276</v>
      </c>
      <c r="J98" s="2">
        <v>699.4</v>
      </c>
      <c r="K98" s="2" t="s">
        <v>29</v>
      </c>
      <c r="L98" s="2">
        <v>138.30000000000001</v>
      </c>
      <c r="M98" s="2">
        <v>96727.02</v>
      </c>
      <c r="N98" s="2">
        <v>7.7600000000000004E-3</v>
      </c>
      <c r="O98" s="2">
        <v>9.9779999999999998</v>
      </c>
      <c r="P98" s="2">
        <v>4747.6000000000004</v>
      </c>
      <c r="Q98" s="2">
        <v>0.75060000000000004</v>
      </c>
      <c r="R98" s="2">
        <v>47.371600000000001</v>
      </c>
      <c r="S98" s="2" t="s">
        <v>38</v>
      </c>
      <c r="T98" s="2" t="s">
        <v>52</v>
      </c>
    </row>
    <row r="99" spans="1:20" x14ac:dyDescent="0.25">
      <c r="A99" s="3">
        <v>96</v>
      </c>
      <c r="B99" s="3">
        <v>2023</v>
      </c>
      <c r="C99" s="3" t="s">
        <v>46</v>
      </c>
      <c r="D99" s="3" t="s">
        <v>166</v>
      </c>
      <c r="E99" s="3" t="s">
        <v>65</v>
      </c>
      <c r="F99" s="3" t="s">
        <v>34</v>
      </c>
      <c r="G99" s="3" t="s">
        <v>67</v>
      </c>
      <c r="H99" s="3" t="s">
        <v>277</v>
      </c>
      <c r="I99" s="3" t="s">
        <v>278</v>
      </c>
      <c r="J99" s="3">
        <v>9889.2999999999993</v>
      </c>
      <c r="K99" s="3" t="s">
        <v>29</v>
      </c>
      <c r="L99" s="3">
        <v>393.6</v>
      </c>
      <c r="M99" s="3">
        <v>3892428.48</v>
      </c>
      <c r="N99" s="3">
        <v>1.8799999999999999E-3</v>
      </c>
      <c r="O99" s="3">
        <v>6.8730000000000002</v>
      </c>
      <c r="P99" s="3">
        <v>4157.6000000000004</v>
      </c>
      <c r="Q99" s="3">
        <v>7.3178000000000001</v>
      </c>
      <c r="R99" s="3">
        <v>28.575199999999999</v>
      </c>
      <c r="S99" s="3" t="s">
        <v>30</v>
      </c>
      <c r="T99" s="3" t="s">
        <v>45</v>
      </c>
    </row>
    <row r="100" spans="1:20" x14ac:dyDescent="0.25">
      <c r="A100" s="2">
        <v>97</v>
      </c>
      <c r="B100" s="2">
        <v>2023</v>
      </c>
      <c r="C100" s="2" t="s">
        <v>22</v>
      </c>
      <c r="D100" s="2" t="s">
        <v>230</v>
      </c>
      <c r="E100" s="2" t="s">
        <v>110</v>
      </c>
      <c r="F100" s="2" t="s">
        <v>66</v>
      </c>
      <c r="G100" s="2" t="s">
        <v>140</v>
      </c>
      <c r="H100" s="2" t="s">
        <v>279</v>
      </c>
      <c r="I100" s="2" t="s">
        <v>116</v>
      </c>
      <c r="J100" s="2">
        <v>8598.2000000000007</v>
      </c>
      <c r="K100" s="2" t="s">
        <v>29</v>
      </c>
      <c r="L100" s="2">
        <v>72.77</v>
      </c>
      <c r="M100" s="2">
        <v>625691.01</v>
      </c>
      <c r="N100" s="2">
        <v>1.2999999999999999E-3</v>
      </c>
      <c r="O100" s="2">
        <v>2.5070000000000001</v>
      </c>
      <c r="P100" s="2">
        <v>1290.7</v>
      </c>
      <c r="Q100" s="2">
        <v>0.81340000000000001</v>
      </c>
      <c r="R100" s="2">
        <v>3.2357999999999998</v>
      </c>
      <c r="S100" s="2" t="s">
        <v>38</v>
      </c>
      <c r="T100" s="2" t="s">
        <v>31</v>
      </c>
    </row>
    <row r="101" spans="1:20" x14ac:dyDescent="0.25">
      <c r="A101" s="3">
        <v>98</v>
      </c>
      <c r="B101" s="3">
        <v>2023</v>
      </c>
      <c r="C101" s="3" t="s">
        <v>32</v>
      </c>
      <c r="D101" s="3" t="s">
        <v>102</v>
      </c>
      <c r="E101" s="3" t="s">
        <v>204</v>
      </c>
      <c r="F101" s="3" t="s">
        <v>172</v>
      </c>
      <c r="G101" s="3" t="s">
        <v>76</v>
      </c>
      <c r="H101" s="3" t="s">
        <v>280</v>
      </c>
      <c r="I101" s="3" t="s">
        <v>281</v>
      </c>
      <c r="J101" s="3">
        <v>1825</v>
      </c>
      <c r="K101" s="3" t="s">
        <v>29</v>
      </c>
      <c r="L101" s="3">
        <v>26.67</v>
      </c>
      <c r="M101" s="3">
        <v>48672.75</v>
      </c>
      <c r="N101" s="3">
        <v>6.0099999999999997E-3</v>
      </c>
      <c r="O101" s="3">
        <v>9.0749999999999993</v>
      </c>
      <c r="P101" s="3">
        <v>2654.1</v>
      </c>
      <c r="Q101" s="3">
        <v>0.29249999999999998</v>
      </c>
      <c r="R101" s="3">
        <v>24.085999999999999</v>
      </c>
      <c r="S101" s="3" t="s">
        <v>30</v>
      </c>
      <c r="T101" s="3" t="s">
        <v>63</v>
      </c>
    </row>
    <row r="102" spans="1:20" x14ac:dyDescent="0.25">
      <c r="A102" s="2">
        <v>99</v>
      </c>
      <c r="B102" s="2">
        <v>2023</v>
      </c>
      <c r="C102" s="2" t="s">
        <v>39</v>
      </c>
      <c r="D102" s="2" t="s">
        <v>252</v>
      </c>
      <c r="E102" s="2" t="s">
        <v>117</v>
      </c>
      <c r="F102" s="2" t="s">
        <v>71</v>
      </c>
      <c r="G102" s="2" t="s">
        <v>89</v>
      </c>
      <c r="H102" s="2" t="s">
        <v>282</v>
      </c>
      <c r="I102" s="2" t="s">
        <v>283</v>
      </c>
      <c r="J102" s="2">
        <v>5088</v>
      </c>
      <c r="K102" s="2" t="s">
        <v>29</v>
      </c>
      <c r="L102" s="2">
        <v>472.74</v>
      </c>
      <c r="M102" s="2">
        <v>2405301.12</v>
      </c>
      <c r="N102" s="2">
        <v>6.3000000000000003E-4</v>
      </c>
      <c r="O102" s="2">
        <v>10.47</v>
      </c>
      <c r="P102" s="2">
        <v>3927</v>
      </c>
      <c r="Q102" s="2">
        <v>1.5153000000000001</v>
      </c>
      <c r="R102" s="2">
        <v>41.115699999999997</v>
      </c>
      <c r="S102" s="2" t="s">
        <v>38</v>
      </c>
      <c r="T102" s="2" t="s">
        <v>63</v>
      </c>
    </row>
    <row r="103" spans="1:20" x14ac:dyDescent="0.25">
      <c r="A103" s="3">
        <v>100</v>
      </c>
      <c r="B103" s="3">
        <v>2023</v>
      </c>
      <c r="C103" s="3" t="s">
        <v>46</v>
      </c>
      <c r="D103" s="3" t="s">
        <v>40</v>
      </c>
      <c r="E103" s="3" t="s">
        <v>58</v>
      </c>
      <c r="F103" s="3" t="s">
        <v>59</v>
      </c>
      <c r="G103" s="3" t="s">
        <v>114</v>
      </c>
      <c r="H103" s="3" t="s">
        <v>284</v>
      </c>
      <c r="I103" s="3" t="s">
        <v>285</v>
      </c>
      <c r="J103" s="3">
        <v>4320.1000000000004</v>
      </c>
      <c r="K103" s="3" t="s">
        <v>29</v>
      </c>
      <c r="L103" s="3">
        <v>54.43</v>
      </c>
      <c r="M103" s="3">
        <v>235143.04000000001</v>
      </c>
      <c r="N103" s="3">
        <v>5.79E-3</v>
      </c>
      <c r="O103" s="3">
        <v>10.842000000000001</v>
      </c>
      <c r="P103" s="3">
        <v>2245.6</v>
      </c>
      <c r="Q103" s="3">
        <v>1.3614999999999999</v>
      </c>
      <c r="R103" s="3">
        <v>24.346800000000002</v>
      </c>
      <c r="S103" s="3" t="s">
        <v>38</v>
      </c>
      <c r="T103" s="3" t="s">
        <v>45</v>
      </c>
    </row>
  </sheetData>
  <autoFilter ref="A3:T3" xr:uid="{00000000-0009-0000-0000-000000000000}"/>
  <mergeCells count="2">
    <mergeCell ref="A1:P1"/>
    <mergeCell ref="A2:P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Q103"/>
  <sheetViews>
    <sheetView showGridLines="0" topLeftCell="I1"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17" width="18" customWidth="1"/>
  </cols>
  <sheetData>
    <row r="1" spans="1:17" ht="28.15" customHeight="1" x14ac:dyDescent="0.25">
      <c r="A1" s="27" t="s">
        <v>286</v>
      </c>
      <c r="B1" s="28"/>
      <c r="C1" s="28"/>
      <c r="D1" s="28"/>
      <c r="E1" s="28"/>
      <c r="F1" s="28"/>
      <c r="G1" s="28"/>
      <c r="H1" s="28"/>
      <c r="I1" s="28"/>
      <c r="J1" s="28"/>
      <c r="K1" s="28"/>
      <c r="L1" s="28"/>
      <c r="M1" s="28"/>
      <c r="N1" s="28"/>
      <c r="O1" s="28"/>
      <c r="P1" s="28"/>
    </row>
    <row r="2" spans="1:17" ht="18" customHeight="1" x14ac:dyDescent="0.25">
      <c r="A2" s="29" t="s">
        <v>1</v>
      </c>
      <c r="B2" s="28"/>
      <c r="C2" s="28"/>
      <c r="D2" s="28"/>
      <c r="E2" s="28"/>
      <c r="F2" s="28"/>
      <c r="G2" s="28"/>
      <c r="H2" s="28"/>
      <c r="I2" s="28"/>
      <c r="J2" s="28"/>
      <c r="K2" s="28"/>
      <c r="L2" s="28"/>
      <c r="M2" s="28"/>
      <c r="N2" s="28"/>
      <c r="O2" s="28"/>
      <c r="P2" s="28"/>
    </row>
    <row r="3" spans="1:17" ht="38.25" x14ac:dyDescent="0.25">
      <c r="A3" s="1" t="s">
        <v>2</v>
      </c>
      <c r="B3" s="1" t="s">
        <v>3</v>
      </c>
      <c r="C3" s="1" t="s">
        <v>287</v>
      </c>
      <c r="D3" s="1" t="s">
        <v>288</v>
      </c>
      <c r="E3" s="1" t="s">
        <v>289</v>
      </c>
      <c r="F3" s="1" t="s">
        <v>290</v>
      </c>
      <c r="G3" s="1" t="s">
        <v>291</v>
      </c>
      <c r="H3" s="1" t="s">
        <v>292</v>
      </c>
      <c r="I3" s="1" t="s">
        <v>293</v>
      </c>
      <c r="J3" s="1" t="s">
        <v>294</v>
      </c>
      <c r="K3" s="1" t="s">
        <v>15</v>
      </c>
      <c r="L3" s="1" t="s">
        <v>295</v>
      </c>
      <c r="M3" s="1" t="s">
        <v>18</v>
      </c>
      <c r="N3" s="1" t="s">
        <v>296</v>
      </c>
      <c r="O3" s="1" t="s">
        <v>297</v>
      </c>
      <c r="P3" s="1" t="s">
        <v>298</v>
      </c>
      <c r="Q3" s="1" t="s">
        <v>299</v>
      </c>
    </row>
    <row r="4" spans="1:17" ht="24" x14ac:dyDescent="0.25">
      <c r="A4" s="2">
        <v>1</v>
      </c>
      <c r="B4" s="2">
        <v>2023</v>
      </c>
      <c r="C4" s="2" t="s">
        <v>300</v>
      </c>
      <c r="D4" s="2" t="s">
        <v>301</v>
      </c>
      <c r="E4" s="2" t="s">
        <v>84</v>
      </c>
      <c r="F4" s="2" t="s">
        <v>54</v>
      </c>
      <c r="G4" s="2" t="s">
        <v>302</v>
      </c>
      <c r="H4" s="2">
        <v>25</v>
      </c>
      <c r="I4" s="2">
        <v>764904</v>
      </c>
      <c r="J4" s="2">
        <v>30.07</v>
      </c>
      <c r="K4" s="2">
        <v>1.5299999999999999E-3</v>
      </c>
      <c r="L4" s="2">
        <v>13.231999999999999</v>
      </c>
      <c r="M4" s="2">
        <v>1.1702999999999999</v>
      </c>
      <c r="N4" s="2">
        <v>397.88619999999997</v>
      </c>
      <c r="O4" s="2" t="s">
        <v>38</v>
      </c>
      <c r="P4" s="2" t="s">
        <v>303</v>
      </c>
      <c r="Q4" s="2" t="s">
        <v>304</v>
      </c>
    </row>
    <row r="5" spans="1:17" ht="36" x14ac:dyDescent="0.25">
      <c r="A5" s="3">
        <v>2</v>
      </c>
      <c r="B5" s="3">
        <v>2023</v>
      </c>
      <c r="C5" s="3" t="s">
        <v>305</v>
      </c>
      <c r="D5" s="3" t="s">
        <v>306</v>
      </c>
      <c r="E5" s="3" t="s">
        <v>105</v>
      </c>
      <c r="F5" s="3" t="s">
        <v>96</v>
      </c>
      <c r="G5" s="3" t="s">
        <v>307</v>
      </c>
      <c r="H5" s="3">
        <v>15</v>
      </c>
      <c r="I5" s="3">
        <v>1731657</v>
      </c>
      <c r="J5" s="3">
        <v>21.79</v>
      </c>
      <c r="K5" s="3">
        <v>3.6099999999999999E-3</v>
      </c>
      <c r="L5" s="3">
        <v>11.048999999999999</v>
      </c>
      <c r="M5" s="3">
        <v>6.2512999999999996</v>
      </c>
      <c r="N5" s="3">
        <v>240.7577</v>
      </c>
      <c r="O5" s="3" t="s">
        <v>38</v>
      </c>
      <c r="P5" s="3" t="s">
        <v>308</v>
      </c>
      <c r="Q5" s="3" t="s">
        <v>309</v>
      </c>
    </row>
    <row r="6" spans="1:17" ht="36" x14ac:dyDescent="0.25">
      <c r="A6" s="2">
        <v>3</v>
      </c>
      <c r="B6" s="2">
        <v>2023</v>
      </c>
      <c r="C6" s="2" t="s">
        <v>310</v>
      </c>
      <c r="D6" s="2" t="s">
        <v>301</v>
      </c>
      <c r="E6" s="2" t="s">
        <v>57</v>
      </c>
      <c r="F6" s="2" t="s">
        <v>24</v>
      </c>
      <c r="G6" s="2" t="s">
        <v>311</v>
      </c>
      <c r="H6" s="2">
        <v>8</v>
      </c>
      <c r="I6" s="2">
        <v>1331890</v>
      </c>
      <c r="J6" s="2">
        <v>19.03</v>
      </c>
      <c r="K6" s="2">
        <v>1.0300000000000001E-3</v>
      </c>
      <c r="L6" s="2">
        <v>23.167000000000002</v>
      </c>
      <c r="M6" s="2">
        <v>1.3717999999999999</v>
      </c>
      <c r="N6" s="2">
        <v>440.86799999999999</v>
      </c>
      <c r="O6" s="2" t="s">
        <v>38</v>
      </c>
      <c r="P6" s="2" t="s">
        <v>312</v>
      </c>
      <c r="Q6" s="2" t="s">
        <v>304</v>
      </c>
    </row>
    <row r="7" spans="1:17" ht="24" x14ac:dyDescent="0.25">
      <c r="A7" s="3">
        <v>4</v>
      </c>
      <c r="B7" s="3">
        <v>2023</v>
      </c>
      <c r="C7" s="3" t="s">
        <v>313</v>
      </c>
      <c r="D7" s="3" t="s">
        <v>314</v>
      </c>
      <c r="E7" s="3" t="s">
        <v>84</v>
      </c>
      <c r="F7" s="3" t="s">
        <v>33</v>
      </c>
      <c r="G7" s="3" t="s">
        <v>145</v>
      </c>
      <c r="H7" s="3">
        <v>26</v>
      </c>
      <c r="I7" s="3">
        <v>748430</v>
      </c>
      <c r="J7" s="3">
        <v>6.94</v>
      </c>
      <c r="K7" s="3">
        <v>7.1000000000000002E-4</v>
      </c>
      <c r="L7" s="3">
        <v>23.968</v>
      </c>
      <c r="M7" s="3">
        <v>0.53139999999999998</v>
      </c>
      <c r="N7" s="3">
        <v>166.33789999999999</v>
      </c>
      <c r="O7" s="3" t="s">
        <v>38</v>
      </c>
      <c r="P7" s="3" t="s">
        <v>315</v>
      </c>
      <c r="Q7" s="3" t="s">
        <v>304</v>
      </c>
    </row>
    <row r="8" spans="1:17" ht="24" x14ac:dyDescent="0.25">
      <c r="A8" s="2">
        <v>5</v>
      </c>
      <c r="B8" s="2">
        <v>2023</v>
      </c>
      <c r="C8" s="2" t="s">
        <v>313</v>
      </c>
      <c r="D8" s="2" t="s">
        <v>316</v>
      </c>
      <c r="E8" s="2" t="s">
        <v>138</v>
      </c>
      <c r="F8" s="2" t="s">
        <v>154</v>
      </c>
      <c r="G8" s="2" t="s">
        <v>317</v>
      </c>
      <c r="H8" s="2">
        <v>12</v>
      </c>
      <c r="I8" s="2">
        <v>107635</v>
      </c>
      <c r="J8" s="2">
        <v>14.74</v>
      </c>
      <c r="K8" s="2">
        <v>1.5900000000000001E-3</v>
      </c>
      <c r="L8" s="2">
        <v>3.6659999999999999</v>
      </c>
      <c r="M8" s="2">
        <v>0.1711</v>
      </c>
      <c r="N8" s="2">
        <v>54.036799999999999</v>
      </c>
      <c r="O8" s="2" t="s">
        <v>30</v>
      </c>
      <c r="P8" s="2" t="s">
        <v>318</v>
      </c>
      <c r="Q8" s="2" t="s">
        <v>309</v>
      </c>
    </row>
    <row r="9" spans="1:17" ht="24" x14ac:dyDescent="0.25">
      <c r="A9" s="3">
        <v>6</v>
      </c>
      <c r="B9" s="3">
        <v>2023</v>
      </c>
      <c r="C9" s="3" t="s">
        <v>300</v>
      </c>
      <c r="D9" s="3" t="s">
        <v>319</v>
      </c>
      <c r="E9" s="3" t="s">
        <v>87</v>
      </c>
      <c r="F9" s="3" t="s">
        <v>58</v>
      </c>
      <c r="G9" s="3" t="s">
        <v>320</v>
      </c>
      <c r="H9" s="3">
        <v>25</v>
      </c>
      <c r="I9" s="3">
        <v>1691520</v>
      </c>
      <c r="J9" s="3">
        <v>18.690000000000001</v>
      </c>
      <c r="K9" s="3">
        <v>3.1700000000000001E-3</v>
      </c>
      <c r="L9" s="3">
        <v>14.864000000000001</v>
      </c>
      <c r="M9" s="3">
        <v>5.3620999999999999</v>
      </c>
      <c r="N9" s="3">
        <v>277.8082</v>
      </c>
      <c r="O9" s="3" t="s">
        <v>38</v>
      </c>
      <c r="P9" s="3" t="s">
        <v>321</v>
      </c>
      <c r="Q9" s="3" t="s">
        <v>322</v>
      </c>
    </row>
    <row r="10" spans="1:17" ht="24" x14ac:dyDescent="0.25">
      <c r="A10" s="2">
        <v>7</v>
      </c>
      <c r="B10" s="2">
        <v>2023</v>
      </c>
      <c r="C10" s="2" t="s">
        <v>323</v>
      </c>
      <c r="D10" s="2" t="s">
        <v>324</v>
      </c>
      <c r="E10" s="2" t="s">
        <v>40</v>
      </c>
      <c r="F10" s="2" t="s">
        <v>88</v>
      </c>
      <c r="G10" s="2" t="s">
        <v>101</v>
      </c>
      <c r="H10" s="2">
        <v>10</v>
      </c>
      <c r="I10" s="2">
        <v>1219945</v>
      </c>
      <c r="J10" s="2">
        <v>33.06</v>
      </c>
      <c r="K10" s="2">
        <v>2.9299999999999999E-3</v>
      </c>
      <c r="L10" s="2">
        <v>1.889</v>
      </c>
      <c r="M10" s="2">
        <v>3.5743999999999998</v>
      </c>
      <c r="N10" s="2">
        <v>62.450299999999999</v>
      </c>
      <c r="O10" s="2" t="s">
        <v>30</v>
      </c>
      <c r="P10" s="2" t="s">
        <v>325</v>
      </c>
      <c r="Q10" s="2" t="s">
        <v>304</v>
      </c>
    </row>
    <row r="11" spans="1:17" ht="36" x14ac:dyDescent="0.25">
      <c r="A11" s="3">
        <v>8</v>
      </c>
      <c r="B11" s="3">
        <v>2023</v>
      </c>
      <c r="C11" s="3" t="s">
        <v>310</v>
      </c>
      <c r="D11" s="3" t="s">
        <v>319</v>
      </c>
      <c r="E11" s="3" t="s">
        <v>95</v>
      </c>
      <c r="F11" s="3" t="s">
        <v>33</v>
      </c>
      <c r="G11" s="3" t="s">
        <v>326</v>
      </c>
      <c r="H11" s="3">
        <v>19</v>
      </c>
      <c r="I11" s="3">
        <v>1316403</v>
      </c>
      <c r="J11" s="3">
        <v>3.94</v>
      </c>
      <c r="K11" s="3">
        <v>3.0899999999999999E-3</v>
      </c>
      <c r="L11" s="3">
        <v>24.329000000000001</v>
      </c>
      <c r="M11" s="3">
        <v>4.0677000000000003</v>
      </c>
      <c r="N11" s="3">
        <v>95.856300000000005</v>
      </c>
      <c r="O11" s="3" t="s">
        <v>38</v>
      </c>
      <c r="P11" s="3" t="s">
        <v>327</v>
      </c>
      <c r="Q11" s="3" t="s">
        <v>322</v>
      </c>
    </row>
    <row r="12" spans="1:17" ht="36" x14ac:dyDescent="0.25">
      <c r="A12" s="2">
        <v>9</v>
      </c>
      <c r="B12" s="2">
        <v>2023</v>
      </c>
      <c r="C12" s="2" t="s">
        <v>310</v>
      </c>
      <c r="D12" s="2" t="s">
        <v>328</v>
      </c>
      <c r="E12" s="2" t="s">
        <v>138</v>
      </c>
      <c r="F12" s="2" t="s">
        <v>110</v>
      </c>
      <c r="G12" s="2" t="s">
        <v>249</v>
      </c>
      <c r="H12" s="2">
        <v>6</v>
      </c>
      <c r="I12" s="2">
        <v>743256</v>
      </c>
      <c r="J12" s="2">
        <v>36.22</v>
      </c>
      <c r="K12" s="2">
        <v>3.2200000000000002E-3</v>
      </c>
      <c r="L12" s="2">
        <v>14.709</v>
      </c>
      <c r="M12" s="2">
        <v>2.3933</v>
      </c>
      <c r="N12" s="2">
        <v>532.76</v>
      </c>
      <c r="O12" s="2" t="s">
        <v>38</v>
      </c>
      <c r="P12" s="2" t="s">
        <v>329</v>
      </c>
      <c r="Q12" s="2" t="s">
        <v>322</v>
      </c>
    </row>
    <row r="13" spans="1:17" ht="24" x14ac:dyDescent="0.25">
      <c r="A13" s="3">
        <v>10</v>
      </c>
      <c r="B13" s="3">
        <v>2023</v>
      </c>
      <c r="C13" s="3" t="s">
        <v>323</v>
      </c>
      <c r="D13" s="3" t="s">
        <v>316</v>
      </c>
      <c r="E13" s="3" t="s">
        <v>252</v>
      </c>
      <c r="F13" s="3" t="s">
        <v>24</v>
      </c>
      <c r="G13" s="3" t="s">
        <v>241</v>
      </c>
      <c r="H13" s="3">
        <v>18</v>
      </c>
      <c r="I13" s="3">
        <v>547845</v>
      </c>
      <c r="J13" s="3">
        <v>33.270000000000003</v>
      </c>
      <c r="K13" s="3">
        <v>2.2000000000000001E-3</v>
      </c>
      <c r="L13" s="3">
        <v>11.721</v>
      </c>
      <c r="M13" s="3">
        <v>1.2053</v>
      </c>
      <c r="N13" s="3">
        <v>389.95769999999999</v>
      </c>
      <c r="O13" s="3" t="s">
        <v>30</v>
      </c>
      <c r="P13" s="3" t="s">
        <v>330</v>
      </c>
      <c r="Q13" s="3" t="s">
        <v>309</v>
      </c>
    </row>
    <row r="14" spans="1:17" ht="36" x14ac:dyDescent="0.25">
      <c r="A14" s="2">
        <v>11</v>
      </c>
      <c r="B14" s="2">
        <v>2023</v>
      </c>
      <c r="C14" s="2" t="s">
        <v>331</v>
      </c>
      <c r="D14" s="2" t="s">
        <v>306</v>
      </c>
      <c r="E14" s="2" t="s">
        <v>87</v>
      </c>
      <c r="F14" s="2" t="s">
        <v>120</v>
      </c>
      <c r="G14" s="2" t="s">
        <v>101</v>
      </c>
      <c r="H14" s="2">
        <v>11</v>
      </c>
      <c r="I14" s="2">
        <v>1358045</v>
      </c>
      <c r="J14" s="2">
        <v>29.86</v>
      </c>
      <c r="K14" s="2">
        <v>2.3400000000000001E-3</v>
      </c>
      <c r="L14" s="2">
        <v>8.5399999999999991</v>
      </c>
      <c r="M14" s="2">
        <v>3.1778</v>
      </c>
      <c r="N14" s="2">
        <v>255.0044</v>
      </c>
      <c r="O14" s="2" t="s">
        <v>38</v>
      </c>
      <c r="P14" s="2" t="s">
        <v>332</v>
      </c>
      <c r="Q14" s="2" t="s">
        <v>322</v>
      </c>
    </row>
    <row r="15" spans="1:17" ht="36" x14ac:dyDescent="0.25">
      <c r="A15" s="3">
        <v>12</v>
      </c>
      <c r="B15" s="3">
        <v>2023</v>
      </c>
      <c r="C15" s="3" t="s">
        <v>305</v>
      </c>
      <c r="D15" s="3" t="s">
        <v>306</v>
      </c>
      <c r="E15" s="3" t="s">
        <v>183</v>
      </c>
      <c r="F15" s="3" t="s">
        <v>110</v>
      </c>
      <c r="G15" s="3" t="s">
        <v>333</v>
      </c>
      <c r="H15" s="3">
        <v>22</v>
      </c>
      <c r="I15" s="3">
        <v>1535862</v>
      </c>
      <c r="J15" s="3">
        <v>38.33</v>
      </c>
      <c r="K15" s="3">
        <v>1.5100000000000001E-3</v>
      </c>
      <c r="L15" s="3">
        <v>4.056</v>
      </c>
      <c r="M15" s="3">
        <v>2.3191999999999999</v>
      </c>
      <c r="N15" s="3">
        <v>155.4665</v>
      </c>
      <c r="O15" s="3" t="s">
        <v>38</v>
      </c>
      <c r="P15" s="3" t="s">
        <v>334</v>
      </c>
      <c r="Q15" s="3" t="s">
        <v>322</v>
      </c>
    </row>
    <row r="16" spans="1:17" ht="24" x14ac:dyDescent="0.25">
      <c r="A16" s="2">
        <v>13</v>
      </c>
      <c r="B16" s="2">
        <v>2023</v>
      </c>
      <c r="C16" s="2" t="s">
        <v>335</v>
      </c>
      <c r="D16" s="2" t="s">
        <v>306</v>
      </c>
      <c r="E16" s="2" t="s">
        <v>230</v>
      </c>
      <c r="F16" s="2" t="s">
        <v>204</v>
      </c>
      <c r="G16" s="2" t="s">
        <v>336</v>
      </c>
      <c r="H16" s="2">
        <v>15</v>
      </c>
      <c r="I16" s="2">
        <v>1003023</v>
      </c>
      <c r="J16" s="2">
        <v>41.75</v>
      </c>
      <c r="K16" s="2">
        <v>3.32E-3</v>
      </c>
      <c r="L16" s="2">
        <v>2.915</v>
      </c>
      <c r="M16" s="2">
        <v>3.33</v>
      </c>
      <c r="N16" s="2">
        <v>121.7013</v>
      </c>
      <c r="O16" s="2" t="s">
        <v>38</v>
      </c>
      <c r="P16" s="2" t="s">
        <v>337</v>
      </c>
      <c r="Q16" s="2" t="s">
        <v>309</v>
      </c>
    </row>
    <row r="17" spans="1:17" ht="24" x14ac:dyDescent="0.25">
      <c r="A17" s="3">
        <v>14</v>
      </c>
      <c r="B17" s="3">
        <v>2023</v>
      </c>
      <c r="C17" s="3" t="s">
        <v>335</v>
      </c>
      <c r="D17" s="3" t="s">
        <v>314</v>
      </c>
      <c r="E17" s="3" t="s">
        <v>183</v>
      </c>
      <c r="F17" s="3" t="s">
        <v>92</v>
      </c>
      <c r="G17" s="3" t="s">
        <v>249</v>
      </c>
      <c r="H17" s="3">
        <v>19</v>
      </c>
      <c r="I17" s="3">
        <v>1148932</v>
      </c>
      <c r="J17" s="3">
        <v>35.619999999999997</v>
      </c>
      <c r="K17" s="3">
        <v>1.9599999999999999E-3</v>
      </c>
      <c r="L17" s="3">
        <v>3.9409999999999998</v>
      </c>
      <c r="M17" s="3">
        <v>2.2519</v>
      </c>
      <c r="N17" s="3">
        <v>140.3784</v>
      </c>
      <c r="O17" s="3" t="s">
        <v>38</v>
      </c>
      <c r="P17" s="3" t="s">
        <v>338</v>
      </c>
      <c r="Q17" s="3" t="s">
        <v>309</v>
      </c>
    </row>
    <row r="18" spans="1:17" ht="24" x14ac:dyDescent="0.25">
      <c r="A18" s="2">
        <v>15</v>
      </c>
      <c r="B18" s="2">
        <v>2023</v>
      </c>
      <c r="C18" s="2" t="s">
        <v>313</v>
      </c>
      <c r="D18" s="2" t="s">
        <v>301</v>
      </c>
      <c r="E18" s="2" t="s">
        <v>47</v>
      </c>
      <c r="F18" s="2" t="s">
        <v>54</v>
      </c>
      <c r="G18" s="2" t="s">
        <v>263</v>
      </c>
      <c r="H18" s="2">
        <v>28</v>
      </c>
      <c r="I18" s="2">
        <v>180819</v>
      </c>
      <c r="J18" s="2">
        <v>42.3</v>
      </c>
      <c r="K18" s="2">
        <v>1.3500000000000001E-3</v>
      </c>
      <c r="L18" s="2">
        <v>15.215</v>
      </c>
      <c r="M18" s="2">
        <v>0.24410000000000001</v>
      </c>
      <c r="N18" s="2">
        <v>643.59450000000004</v>
      </c>
      <c r="O18" s="2" t="s">
        <v>38</v>
      </c>
      <c r="P18" s="2" t="s">
        <v>339</v>
      </c>
      <c r="Q18" s="2" t="s">
        <v>322</v>
      </c>
    </row>
    <row r="19" spans="1:17" ht="24" x14ac:dyDescent="0.25">
      <c r="A19" s="3">
        <v>16</v>
      </c>
      <c r="B19" s="3">
        <v>2023</v>
      </c>
      <c r="C19" s="3" t="s">
        <v>313</v>
      </c>
      <c r="D19" s="3" t="s">
        <v>316</v>
      </c>
      <c r="E19" s="3" t="s">
        <v>75</v>
      </c>
      <c r="F19" s="3" t="s">
        <v>88</v>
      </c>
      <c r="G19" s="3" t="s">
        <v>340</v>
      </c>
      <c r="H19" s="3">
        <v>9</v>
      </c>
      <c r="I19" s="3">
        <v>669472</v>
      </c>
      <c r="J19" s="3">
        <v>8.82</v>
      </c>
      <c r="K19" s="3">
        <v>2.2899999999999999E-3</v>
      </c>
      <c r="L19" s="3">
        <v>3.9140000000000001</v>
      </c>
      <c r="M19" s="3">
        <v>1.5330999999999999</v>
      </c>
      <c r="N19" s="3">
        <v>34.521500000000003</v>
      </c>
      <c r="O19" s="3" t="s">
        <v>30</v>
      </c>
      <c r="P19" s="3" t="s">
        <v>341</v>
      </c>
      <c r="Q19" s="3" t="s">
        <v>322</v>
      </c>
    </row>
    <row r="20" spans="1:17" ht="36" x14ac:dyDescent="0.25">
      <c r="A20" s="2">
        <v>17</v>
      </c>
      <c r="B20" s="2">
        <v>2023</v>
      </c>
      <c r="C20" s="2" t="s">
        <v>310</v>
      </c>
      <c r="D20" s="2" t="s">
        <v>342</v>
      </c>
      <c r="E20" s="2" t="s">
        <v>102</v>
      </c>
      <c r="F20" s="2" t="s">
        <v>204</v>
      </c>
      <c r="G20" s="2" t="s">
        <v>343</v>
      </c>
      <c r="H20" s="2">
        <v>29</v>
      </c>
      <c r="I20" s="2">
        <v>297156</v>
      </c>
      <c r="J20" s="2">
        <v>10.26</v>
      </c>
      <c r="K20" s="2">
        <v>2.6099999999999999E-3</v>
      </c>
      <c r="L20" s="2">
        <v>19.292999999999999</v>
      </c>
      <c r="M20" s="2">
        <v>0.77559999999999996</v>
      </c>
      <c r="N20" s="2">
        <v>197.9462</v>
      </c>
      <c r="O20" s="2" t="s">
        <v>38</v>
      </c>
      <c r="P20" s="2" t="s">
        <v>344</v>
      </c>
      <c r="Q20" s="2" t="s">
        <v>309</v>
      </c>
    </row>
    <row r="21" spans="1:17" ht="24" x14ac:dyDescent="0.25">
      <c r="A21" s="3">
        <v>18</v>
      </c>
      <c r="B21" s="3">
        <v>2023</v>
      </c>
      <c r="C21" s="3" t="s">
        <v>345</v>
      </c>
      <c r="D21" s="3" t="s">
        <v>314</v>
      </c>
      <c r="E21" s="3" t="s">
        <v>138</v>
      </c>
      <c r="F21" s="3" t="s">
        <v>204</v>
      </c>
      <c r="G21" s="3" t="s">
        <v>346</v>
      </c>
      <c r="H21" s="3">
        <v>20</v>
      </c>
      <c r="I21" s="3">
        <v>1363861</v>
      </c>
      <c r="J21" s="3">
        <v>44.16</v>
      </c>
      <c r="K21" s="3">
        <v>2.7499999999999998E-3</v>
      </c>
      <c r="L21" s="3">
        <v>24.678999999999998</v>
      </c>
      <c r="M21" s="3">
        <v>3.7505999999999999</v>
      </c>
      <c r="N21" s="3">
        <v>1089.8245999999999</v>
      </c>
      <c r="O21" s="3" t="s">
        <v>38</v>
      </c>
      <c r="P21" s="3" t="s">
        <v>347</v>
      </c>
      <c r="Q21" s="3" t="s">
        <v>304</v>
      </c>
    </row>
    <row r="22" spans="1:17" ht="24" x14ac:dyDescent="0.25">
      <c r="A22" s="2">
        <v>19</v>
      </c>
      <c r="B22" s="2">
        <v>2023</v>
      </c>
      <c r="C22" s="2" t="s">
        <v>323</v>
      </c>
      <c r="D22" s="2" t="s">
        <v>348</v>
      </c>
      <c r="E22" s="2" t="s">
        <v>109</v>
      </c>
      <c r="F22" s="2" t="s">
        <v>120</v>
      </c>
      <c r="G22" s="2" t="s">
        <v>349</v>
      </c>
      <c r="H22" s="2">
        <v>16</v>
      </c>
      <c r="I22" s="2">
        <v>609127</v>
      </c>
      <c r="J22" s="2">
        <v>14.1</v>
      </c>
      <c r="K22" s="2">
        <v>6.9999999999999999E-4</v>
      </c>
      <c r="L22" s="2">
        <v>13.275</v>
      </c>
      <c r="M22" s="2">
        <v>0.4264</v>
      </c>
      <c r="N22" s="2">
        <v>187.17750000000001</v>
      </c>
      <c r="O22" s="2" t="s">
        <v>38</v>
      </c>
      <c r="P22" s="2" t="s">
        <v>350</v>
      </c>
      <c r="Q22" s="2" t="s">
        <v>322</v>
      </c>
    </row>
    <row r="23" spans="1:17" ht="24" x14ac:dyDescent="0.25">
      <c r="A23" s="3">
        <v>20</v>
      </c>
      <c r="B23" s="3">
        <v>2023</v>
      </c>
      <c r="C23" s="3" t="s">
        <v>300</v>
      </c>
      <c r="D23" s="3" t="s">
        <v>348</v>
      </c>
      <c r="E23" s="3" t="s">
        <v>166</v>
      </c>
      <c r="F23" s="3" t="s">
        <v>139</v>
      </c>
      <c r="G23" s="3" t="s">
        <v>351</v>
      </c>
      <c r="H23" s="3">
        <v>19</v>
      </c>
      <c r="I23" s="3">
        <v>1291110</v>
      </c>
      <c r="J23" s="3">
        <v>48.88</v>
      </c>
      <c r="K23" s="3">
        <v>8.1999999999999998E-4</v>
      </c>
      <c r="L23" s="3">
        <v>15.339</v>
      </c>
      <c r="M23" s="3">
        <v>1.0587</v>
      </c>
      <c r="N23" s="3">
        <v>749.77030000000002</v>
      </c>
      <c r="O23" s="3" t="s">
        <v>38</v>
      </c>
      <c r="P23" s="3" t="s">
        <v>352</v>
      </c>
      <c r="Q23" s="3" t="s">
        <v>304</v>
      </c>
    </row>
    <row r="24" spans="1:17" ht="36" x14ac:dyDescent="0.25">
      <c r="A24" s="2">
        <v>21</v>
      </c>
      <c r="B24" s="2">
        <v>2023</v>
      </c>
      <c r="C24" s="2" t="s">
        <v>305</v>
      </c>
      <c r="D24" s="2" t="s">
        <v>301</v>
      </c>
      <c r="E24" s="2" t="s">
        <v>40</v>
      </c>
      <c r="F24" s="2" t="s">
        <v>96</v>
      </c>
      <c r="G24" s="2" t="s">
        <v>215</v>
      </c>
      <c r="H24" s="2">
        <v>21</v>
      </c>
      <c r="I24" s="2">
        <v>380538</v>
      </c>
      <c r="J24" s="2">
        <v>30.45</v>
      </c>
      <c r="K24" s="2">
        <v>2.2499999999999998E-3</v>
      </c>
      <c r="L24" s="2">
        <v>23.994</v>
      </c>
      <c r="M24" s="2">
        <v>0.85619999999999996</v>
      </c>
      <c r="N24" s="2">
        <v>730.6173</v>
      </c>
      <c r="O24" s="2" t="s">
        <v>38</v>
      </c>
      <c r="P24" s="2" t="s">
        <v>353</v>
      </c>
      <c r="Q24" s="2" t="s">
        <v>322</v>
      </c>
    </row>
    <row r="25" spans="1:17" ht="36" x14ac:dyDescent="0.25">
      <c r="A25" s="3">
        <v>22</v>
      </c>
      <c r="B25" s="3">
        <v>2023</v>
      </c>
      <c r="C25" s="3" t="s">
        <v>354</v>
      </c>
      <c r="D25" s="3" t="s">
        <v>342</v>
      </c>
      <c r="E25" s="3" t="s">
        <v>75</v>
      </c>
      <c r="F25" s="3" t="s">
        <v>88</v>
      </c>
      <c r="G25" s="3" t="s">
        <v>355</v>
      </c>
      <c r="H25" s="3">
        <v>17</v>
      </c>
      <c r="I25" s="3">
        <v>83089</v>
      </c>
      <c r="J25" s="3">
        <v>35.53</v>
      </c>
      <c r="K25" s="3">
        <v>3.9699999999999996E-3</v>
      </c>
      <c r="L25" s="3">
        <v>13.673</v>
      </c>
      <c r="M25" s="3">
        <v>0.32990000000000003</v>
      </c>
      <c r="N25" s="3">
        <v>485.80169999999998</v>
      </c>
      <c r="O25" s="3" t="s">
        <v>38</v>
      </c>
      <c r="P25" s="3" t="s">
        <v>356</v>
      </c>
      <c r="Q25" s="3" t="s">
        <v>309</v>
      </c>
    </row>
    <row r="26" spans="1:17" ht="24" x14ac:dyDescent="0.25">
      <c r="A26" s="2">
        <v>23</v>
      </c>
      <c r="B26" s="2">
        <v>2023</v>
      </c>
      <c r="C26" s="2" t="s">
        <v>345</v>
      </c>
      <c r="D26" s="2" t="s">
        <v>301</v>
      </c>
      <c r="E26" s="2" t="s">
        <v>23</v>
      </c>
      <c r="F26" s="2" t="s">
        <v>154</v>
      </c>
      <c r="G26" s="2" t="s">
        <v>357</v>
      </c>
      <c r="H26" s="2">
        <v>14</v>
      </c>
      <c r="I26" s="2">
        <v>1359401</v>
      </c>
      <c r="J26" s="2">
        <v>3.09</v>
      </c>
      <c r="K26" s="2">
        <v>2.7100000000000002E-3</v>
      </c>
      <c r="L26" s="2">
        <v>9.1649999999999991</v>
      </c>
      <c r="M26" s="2">
        <v>3.6840000000000002</v>
      </c>
      <c r="N26" s="2">
        <v>28.319800000000001</v>
      </c>
      <c r="O26" s="2" t="s">
        <v>38</v>
      </c>
      <c r="P26" s="2" t="s">
        <v>358</v>
      </c>
      <c r="Q26" s="2" t="s">
        <v>304</v>
      </c>
    </row>
    <row r="27" spans="1:17" ht="36" x14ac:dyDescent="0.25">
      <c r="A27" s="3">
        <v>24</v>
      </c>
      <c r="B27" s="3">
        <v>2023</v>
      </c>
      <c r="C27" s="3" t="s">
        <v>310</v>
      </c>
      <c r="D27" s="3" t="s">
        <v>359</v>
      </c>
      <c r="E27" s="3" t="s">
        <v>138</v>
      </c>
      <c r="F27" s="3" t="s">
        <v>70</v>
      </c>
      <c r="G27" s="3" t="s">
        <v>360</v>
      </c>
      <c r="H27" s="3">
        <v>14</v>
      </c>
      <c r="I27" s="3">
        <v>1703875</v>
      </c>
      <c r="J27" s="3">
        <v>48.24</v>
      </c>
      <c r="K27" s="3">
        <v>2.6099999999999999E-3</v>
      </c>
      <c r="L27" s="3">
        <v>4.7789999999999999</v>
      </c>
      <c r="M27" s="3">
        <v>4.4470999999999998</v>
      </c>
      <c r="N27" s="3">
        <v>230.53899999999999</v>
      </c>
      <c r="O27" s="3" t="s">
        <v>38</v>
      </c>
      <c r="P27" s="3" t="s">
        <v>361</v>
      </c>
      <c r="Q27" s="3" t="s">
        <v>304</v>
      </c>
    </row>
    <row r="28" spans="1:17" ht="24" x14ac:dyDescent="0.25">
      <c r="A28" s="2">
        <v>25</v>
      </c>
      <c r="B28" s="2">
        <v>2023</v>
      </c>
      <c r="C28" s="2" t="s">
        <v>313</v>
      </c>
      <c r="D28" s="2" t="s">
        <v>306</v>
      </c>
      <c r="E28" s="2" t="s">
        <v>40</v>
      </c>
      <c r="F28" s="2" t="s">
        <v>54</v>
      </c>
      <c r="G28" s="2" t="s">
        <v>94</v>
      </c>
      <c r="H28" s="2">
        <v>26</v>
      </c>
      <c r="I28" s="2">
        <v>1325960</v>
      </c>
      <c r="J28" s="2">
        <v>6.88</v>
      </c>
      <c r="K28" s="2">
        <v>2.98E-3</v>
      </c>
      <c r="L28" s="2">
        <v>3.2160000000000002</v>
      </c>
      <c r="M28" s="2">
        <v>3.9514</v>
      </c>
      <c r="N28" s="2">
        <v>22.126100000000001</v>
      </c>
      <c r="O28" s="2" t="s">
        <v>38</v>
      </c>
      <c r="P28" s="2" t="s">
        <v>362</v>
      </c>
      <c r="Q28" s="2" t="s">
        <v>304</v>
      </c>
    </row>
    <row r="29" spans="1:17" ht="24" x14ac:dyDescent="0.25">
      <c r="A29" s="3">
        <v>26</v>
      </c>
      <c r="B29" s="3">
        <v>2023</v>
      </c>
      <c r="C29" s="3" t="s">
        <v>313</v>
      </c>
      <c r="D29" s="3" t="s">
        <v>314</v>
      </c>
      <c r="E29" s="3" t="s">
        <v>230</v>
      </c>
      <c r="F29" s="3" t="s">
        <v>88</v>
      </c>
      <c r="G29" s="3" t="s">
        <v>263</v>
      </c>
      <c r="H29" s="3">
        <v>10</v>
      </c>
      <c r="I29" s="3">
        <v>1994342</v>
      </c>
      <c r="J29" s="3">
        <v>45.67</v>
      </c>
      <c r="K29" s="3">
        <v>8.3000000000000001E-4</v>
      </c>
      <c r="L29" s="3">
        <v>17.157</v>
      </c>
      <c r="M29" s="3">
        <v>1.6553</v>
      </c>
      <c r="N29" s="3">
        <v>783.56020000000001</v>
      </c>
      <c r="O29" s="3" t="s">
        <v>30</v>
      </c>
      <c r="P29" s="3" t="s">
        <v>363</v>
      </c>
      <c r="Q29" s="3" t="s">
        <v>309</v>
      </c>
    </row>
    <row r="30" spans="1:17" ht="36" x14ac:dyDescent="0.25">
      <c r="A30" s="2">
        <v>27</v>
      </c>
      <c r="B30" s="2">
        <v>2023</v>
      </c>
      <c r="C30" s="2" t="s">
        <v>310</v>
      </c>
      <c r="D30" s="2" t="s">
        <v>324</v>
      </c>
      <c r="E30" s="2" t="s">
        <v>84</v>
      </c>
      <c r="F30" s="2" t="s">
        <v>139</v>
      </c>
      <c r="G30" s="2" t="s">
        <v>364</v>
      </c>
      <c r="H30" s="2">
        <v>28</v>
      </c>
      <c r="I30" s="2">
        <v>1895598</v>
      </c>
      <c r="J30" s="2">
        <v>24.57</v>
      </c>
      <c r="K30" s="2">
        <v>1.2899999999999999E-3</v>
      </c>
      <c r="L30" s="2">
        <v>4.4740000000000002</v>
      </c>
      <c r="M30" s="2">
        <v>2.4453</v>
      </c>
      <c r="N30" s="2">
        <v>109.92619999999999</v>
      </c>
      <c r="O30" s="2" t="s">
        <v>38</v>
      </c>
      <c r="P30" s="2" t="s">
        <v>365</v>
      </c>
      <c r="Q30" s="2" t="s">
        <v>322</v>
      </c>
    </row>
    <row r="31" spans="1:17" ht="24" x14ac:dyDescent="0.25">
      <c r="A31" s="3">
        <v>28</v>
      </c>
      <c r="B31" s="3">
        <v>2023</v>
      </c>
      <c r="C31" s="3" t="s">
        <v>366</v>
      </c>
      <c r="D31" s="3" t="s">
        <v>342</v>
      </c>
      <c r="E31" s="3" t="s">
        <v>183</v>
      </c>
      <c r="F31" s="3" t="s">
        <v>54</v>
      </c>
      <c r="G31" s="3" t="s">
        <v>367</v>
      </c>
      <c r="H31" s="3">
        <v>29</v>
      </c>
      <c r="I31" s="3">
        <v>1325549</v>
      </c>
      <c r="J31" s="3">
        <v>43.88</v>
      </c>
      <c r="K31" s="3">
        <v>2.66E-3</v>
      </c>
      <c r="L31" s="3">
        <v>15.414</v>
      </c>
      <c r="M31" s="3">
        <v>3.5259999999999998</v>
      </c>
      <c r="N31" s="3">
        <v>676.36630000000002</v>
      </c>
      <c r="O31" s="3" t="s">
        <v>38</v>
      </c>
      <c r="P31" s="3" t="s">
        <v>368</v>
      </c>
      <c r="Q31" s="3" t="s">
        <v>322</v>
      </c>
    </row>
    <row r="32" spans="1:17" ht="36" x14ac:dyDescent="0.25">
      <c r="A32" s="2">
        <v>29</v>
      </c>
      <c r="B32" s="2">
        <v>2023</v>
      </c>
      <c r="C32" s="2" t="s">
        <v>305</v>
      </c>
      <c r="D32" s="2" t="s">
        <v>359</v>
      </c>
      <c r="E32" s="2" t="s">
        <v>159</v>
      </c>
      <c r="F32" s="2" t="s">
        <v>92</v>
      </c>
      <c r="G32" s="2" t="s">
        <v>369</v>
      </c>
      <c r="H32" s="2">
        <v>12</v>
      </c>
      <c r="I32" s="2">
        <v>1443760</v>
      </c>
      <c r="J32" s="2">
        <v>2.66</v>
      </c>
      <c r="K32" s="2">
        <v>1.7799999999999999E-3</v>
      </c>
      <c r="L32" s="2">
        <v>18.326000000000001</v>
      </c>
      <c r="M32" s="2">
        <v>2.5699000000000001</v>
      </c>
      <c r="N32" s="2">
        <v>48.747199999999999</v>
      </c>
      <c r="O32" s="2" t="s">
        <v>38</v>
      </c>
      <c r="P32" s="2" t="s">
        <v>370</v>
      </c>
      <c r="Q32" s="2" t="s">
        <v>322</v>
      </c>
    </row>
    <row r="33" spans="1:17" ht="24" x14ac:dyDescent="0.25">
      <c r="A33" s="3">
        <v>30</v>
      </c>
      <c r="B33" s="3">
        <v>2023</v>
      </c>
      <c r="C33" s="3" t="s">
        <v>345</v>
      </c>
      <c r="D33" s="3" t="s">
        <v>359</v>
      </c>
      <c r="E33" s="3" t="s">
        <v>109</v>
      </c>
      <c r="F33" s="3" t="s">
        <v>204</v>
      </c>
      <c r="G33" s="3" t="s">
        <v>355</v>
      </c>
      <c r="H33" s="3">
        <v>29</v>
      </c>
      <c r="I33" s="3">
        <v>622388</v>
      </c>
      <c r="J33" s="3">
        <v>40.53</v>
      </c>
      <c r="K33" s="3">
        <v>2.14E-3</v>
      </c>
      <c r="L33" s="3">
        <v>21.076000000000001</v>
      </c>
      <c r="M33" s="3">
        <v>1.3319000000000001</v>
      </c>
      <c r="N33" s="3">
        <v>854.21029999999996</v>
      </c>
      <c r="O33" s="3" t="s">
        <v>38</v>
      </c>
      <c r="P33" s="3" t="s">
        <v>371</v>
      </c>
      <c r="Q33" s="3" t="s">
        <v>304</v>
      </c>
    </row>
    <row r="34" spans="1:17" ht="24" x14ac:dyDescent="0.25">
      <c r="A34" s="2">
        <v>31</v>
      </c>
      <c r="B34" s="2">
        <v>2023</v>
      </c>
      <c r="C34" s="2" t="s">
        <v>366</v>
      </c>
      <c r="D34" s="2" t="s">
        <v>324</v>
      </c>
      <c r="E34" s="2" t="s">
        <v>64</v>
      </c>
      <c r="F34" s="2" t="s">
        <v>154</v>
      </c>
      <c r="G34" s="2" t="s">
        <v>317</v>
      </c>
      <c r="H34" s="2">
        <v>16</v>
      </c>
      <c r="I34" s="2">
        <v>1057282</v>
      </c>
      <c r="J34" s="2">
        <v>48.33</v>
      </c>
      <c r="K34" s="2">
        <v>3.3600000000000001E-3</v>
      </c>
      <c r="L34" s="2">
        <v>20.27</v>
      </c>
      <c r="M34" s="2">
        <v>3.5525000000000002</v>
      </c>
      <c r="N34" s="2">
        <v>979.64909999999998</v>
      </c>
      <c r="O34" s="2" t="s">
        <v>38</v>
      </c>
      <c r="P34" s="2" t="s">
        <v>372</v>
      </c>
      <c r="Q34" s="2" t="s">
        <v>322</v>
      </c>
    </row>
    <row r="35" spans="1:17" ht="24" x14ac:dyDescent="0.25">
      <c r="A35" s="3">
        <v>32</v>
      </c>
      <c r="B35" s="3">
        <v>2023</v>
      </c>
      <c r="C35" s="3" t="s">
        <v>366</v>
      </c>
      <c r="D35" s="3" t="s">
        <v>324</v>
      </c>
      <c r="E35" s="3" t="s">
        <v>109</v>
      </c>
      <c r="F35" s="3" t="s">
        <v>70</v>
      </c>
      <c r="G35" s="3" t="s">
        <v>373</v>
      </c>
      <c r="H35" s="3">
        <v>9</v>
      </c>
      <c r="I35" s="3">
        <v>1424245</v>
      </c>
      <c r="J35" s="3">
        <v>26.04</v>
      </c>
      <c r="K35" s="3">
        <v>9.3999999999999997E-4</v>
      </c>
      <c r="L35" s="3">
        <v>3.1960000000000002</v>
      </c>
      <c r="M35" s="3">
        <v>1.3388</v>
      </c>
      <c r="N35" s="3">
        <v>83.223799999999997</v>
      </c>
      <c r="O35" s="3" t="s">
        <v>38</v>
      </c>
      <c r="P35" s="3" t="s">
        <v>374</v>
      </c>
      <c r="Q35" s="3" t="s">
        <v>322</v>
      </c>
    </row>
    <row r="36" spans="1:17" ht="24" x14ac:dyDescent="0.25">
      <c r="A36" s="2">
        <v>33</v>
      </c>
      <c r="B36" s="2">
        <v>2023</v>
      </c>
      <c r="C36" s="2" t="s">
        <v>335</v>
      </c>
      <c r="D36" s="2" t="s">
        <v>306</v>
      </c>
      <c r="E36" s="2" t="s">
        <v>64</v>
      </c>
      <c r="F36" s="2" t="s">
        <v>33</v>
      </c>
      <c r="G36" s="2" t="s">
        <v>375</v>
      </c>
      <c r="H36" s="2">
        <v>16</v>
      </c>
      <c r="I36" s="2">
        <v>1893094</v>
      </c>
      <c r="J36" s="2">
        <v>11.49</v>
      </c>
      <c r="K36" s="2">
        <v>2.0799999999999998E-3</v>
      </c>
      <c r="L36" s="2">
        <v>9.52</v>
      </c>
      <c r="M36" s="2">
        <v>3.9376000000000002</v>
      </c>
      <c r="N36" s="2">
        <v>109.3848</v>
      </c>
      <c r="O36" s="2" t="s">
        <v>30</v>
      </c>
      <c r="P36" s="2" t="s">
        <v>376</v>
      </c>
      <c r="Q36" s="2" t="s">
        <v>309</v>
      </c>
    </row>
    <row r="37" spans="1:17" ht="24" x14ac:dyDescent="0.25">
      <c r="A37" s="3">
        <v>34</v>
      </c>
      <c r="B37" s="3">
        <v>2023</v>
      </c>
      <c r="C37" s="3" t="s">
        <v>345</v>
      </c>
      <c r="D37" s="3" t="s">
        <v>342</v>
      </c>
      <c r="E37" s="3" t="s">
        <v>138</v>
      </c>
      <c r="F37" s="3" t="s">
        <v>120</v>
      </c>
      <c r="G37" s="3" t="s">
        <v>377</v>
      </c>
      <c r="H37" s="3">
        <v>20</v>
      </c>
      <c r="I37" s="3">
        <v>1989078</v>
      </c>
      <c r="J37" s="3">
        <v>19.059999999999999</v>
      </c>
      <c r="K37" s="3">
        <v>5.9999999999999995E-4</v>
      </c>
      <c r="L37" s="3">
        <v>23.353999999999999</v>
      </c>
      <c r="M37" s="3">
        <v>1.1934</v>
      </c>
      <c r="N37" s="3">
        <v>445.12720000000002</v>
      </c>
      <c r="O37" s="3" t="s">
        <v>38</v>
      </c>
      <c r="P37" s="3" t="s">
        <v>378</v>
      </c>
      <c r="Q37" s="3" t="s">
        <v>322</v>
      </c>
    </row>
    <row r="38" spans="1:17" ht="24" x14ac:dyDescent="0.25">
      <c r="A38" s="2">
        <v>35</v>
      </c>
      <c r="B38" s="2">
        <v>2023</v>
      </c>
      <c r="C38" s="2" t="s">
        <v>335</v>
      </c>
      <c r="D38" s="2" t="s">
        <v>324</v>
      </c>
      <c r="E38" s="2" t="s">
        <v>95</v>
      </c>
      <c r="F38" s="2" t="s">
        <v>54</v>
      </c>
      <c r="G38" s="2" t="s">
        <v>379</v>
      </c>
      <c r="H38" s="2">
        <v>22</v>
      </c>
      <c r="I38" s="2">
        <v>1518888</v>
      </c>
      <c r="J38" s="2">
        <v>23.72</v>
      </c>
      <c r="K38" s="2">
        <v>2.65E-3</v>
      </c>
      <c r="L38" s="2">
        <v>22.759</v>
      </c>
      <c r="M38" s="2">
        <v>4.0251000000000001</v>
      </c>
      <c r="N38" s="2">
        <v>539.84349999999995</v>
      </c>
      <c r="O38" s="2" t="s">
        <v>38</v>
      </c>
      <c r="P38" s="2" t="s">
        <v>380</v>
      </c>
      <c r="Q38" s="2" t="s">
        <v>304</v>
      </c>
    </row>
    <row r="39" spans="1:17" ht="24" x14ac:dyDescent="0.25">
      <c r="A39" s="3">
        <v>36</v>
      </c>
      <c r="B39" s="3">
        <v>2023</v>
      </c>
      <c r="C39" s="3" t="s">
        <v>335</v>
      </c>
      <c r="D39" s="3" t="s">
        <v>316</v>
      </c>
      <c r="E39" s="3" t="s">
        <v>105</v>
      </c>
      <c r="F39" s="3" t="s">
        <v>154</v>
      </c>
      <c r="G39" s="3" t="s">
        <v>185</v>
      </c>
      <c r="H39" s="3">
        <v>19</v>
      </c>
      <c r="I39" s="3">
        <v>1057904</v>
      </c>
      <c r="J39" s="3">
        <v>6</v>
      </c>
      <c r="K39" s="3">
        <v>1.5100000000000001E-3</v>
      </c>
      <c r="L39" s="3">
        <v>8.3670000000000009</v>
      </c>
      <c r="M39" s="3">
        <v>1.5973999999999999</v>
      </c>
      <c r="N39" s="3">
        <v>50.201999999999998</v>
      </c>
      <c r="O39" s="3" t="s">
        <v>30</v>
      </c>
      <c r="P39" s="3" t="s">
        <v>381</v>
      </c>
      <c r="Q39" s="3" t="s">
        <v>322</v>
      </c>
    </row>
    <row r="40" spans="1:17" ht="36" x14ac:dyDescent="0.25">
      <c r="A40" s="2">
        <v>37</v>
      </c>
      <c r="B40" s="2">
        <v>2023</v>
      </c>
      <c r="C40" s="2" t="s">
        <v>354</v>
      </c>
      <c r="D40" s="2" t="s">
        <v>316</v>
      </c>
      <c r="E40" s="2" t="s">
        <v>138</v>
      </c>
      <c r="F40" s="2" t="s">
        <v>117</v>
      </c>
      <c r="G40" s="2" t="s">
        <v>382</v>
      </c>
      <c r="H40" s="2">
        <v>5</v>
      </c>
      <c r="I40" s="2">
        <v>1674192</v>
      </c>
      <c r="J40" s="2">
        <v>25.24</v>
      </c>
      <c r="K40" s="2">
        <v>2.3800000000000002E-3</v>
      </c>
      <c r="L40" s="2">
        <v>16.241</v>
      </c>
      <c r="M40" s="2">
        <v>3.9845999999999999</v>
      </c>
      <c r="N40" s="2">
        <v>409.9228</v>
      </c>
      <c r="O40" s="2" t="s">
        <v>38</v>
      </c>
      <c r="P40" s="2" t="s">
        <v>383</v>
      </c>
      <c r="Q40" s="2" t="s">
        <v>309</v>
      </c>
    </row>
    <row r="41" spans="1:17" ht="24" x14ac:dyDescent="0.25">
      <c r="A41" s="3">
        <v>38</v>
      </c>
      <c r="B41" s="3">
        <v>2023</v>
      </c>
      <c r="C41" s="3" t="s">
        <v>345</v>
      </c>
      <c r="D41" s="3" t="s">
        <v>301</v>
      </c>
      <c r="E41" s="3" t="s">
        <v>252</v>
      </c>
      <c r="F41" s="3" t="s">
        <v>139</v>
      </c>
      <c r="G41" s="3" t="s">
        <v>130</v>
      </c>
      <c r="H41" s="3">
        <v>30</v>
      </c>
      <c r="I41" s="3">
        <v>484926</v>
      </c>
      <c r="J41" s="3">
        <v>21.12</v>
      </c>
      <c r="K41" s="3">
        <v>2.8300000000000001E-3</v>
      </c>
      <c r="L41" s="3">
        <v>3.238</v>
      </c>
      <c r="M41" s="3">
        <v>1.3723000000000001</v>
      </c>
      <c r="N41" s="3">
        <v>68.386600000000001</v>
      </c>
      <c r="O41" s="3" t="s">
        <v>38</v>
      </c>
      <c r="P41" s="3" t="s">
        <v>384</v>
      </c>
      <c r="Q41" s="3" t="s">
        <v>304</v>
      </c>
    </row>
    <row r="42" spans="1:17" ht="24" x14ac:dyDescent="0.25">
      <c r="A42" s="2">
        <v>39</v>
      </c>
      <c r="B42" s="2">
        <v>2023</v>
      </c>
      <c r="C42" s="2" t="s">
        <v>345</v>
      </c>
      <c r="D42" s="2" t="s">
        <v>324</v>
      </c>
      <c r="E42" s="2" t="s">
        <v>230</v>
      </c>
      <c r="F42" s="2" t="s">
        <v>88</v>
      </c>
      <c r="G42" s="2" t="s">
        <v>346</v>
      </c>
      <c r="H42" s="2">
        <v>16</v>
      </c>
      <c r="I42" s="2">
        <v>45567</v>
      </c>
      <c r="J42" s="2">
        <v>43.73</v>
      </c>
      <c r="K42" s="2">
        <v>6.4999999999999997E-4</v>
      </c>
      <c r="L42" s="2">
        <v>10.407999999999999</v>
      </c>
      <c r="M42" s="2">
        <v>2.9600000000000001E-2</v>
      </c>
      <c r="N42" s="2">
        <v>455.14179999999999</v>
      </c>
      <c r="O42" s="2" t="s">
        <v>30</v>
      </c>
      <c r="P42" s="2" t="s">
        <v>385</v>
      </c>
      <c r="Q42" s="2" t="s">
        <v>304</v>
      </c>
    </row>
    <row r="43" spans="1:17" ht="24" x14ac:dyDescent="0.25">
      <c r="A43" s="3">
        <v>40</v>
      </c>
      <c r="B43" s="3">
        <v>2023</v>
      </c>
      <c r="C43" s="3" t="s">
        <v>366</v>
      </c>
      <c r="D43" s="3" t="s">
        <v>328</v>
      </c>
      <c r="E43" s="3" t="s">
        <v>75</v>
      </c>
      <c r="F43" s="3" t="s">
        <v>139</v>
      </c>
      <c r="G43" s="3" t="s">
        <v>247</v>
      </c>
      <c r="H43" s="3">
        <v>25</v>
      </c>
      <c r="I43" s="3">
        <v>1315923</v>
      </c>
      <c r="J43" s="3">
        <v>5.63</v>
      </c>
      <c r="K43" s="3">
        <v>2.5400000000000002E-3</v>
      </c>
      <c r="L43" s="3">
        <v>19.209</v>
      </c>
      <c r="M43" s="3">
        <v>3.3424</v>
      </c>
      <c r="N43" s="3">
        <v>108.1467</v>
      </c>
      <c r="O43" s="3" t="s">
        <v>30</v>
      </c>
      <c r="P43" s="3" t="s">
        <v>386</v>
      </c>
      <c r="Q43" s="3" t="s">
        <v>304</v>
      </c>
    </row>
    <row r="44" spans="1:17" ht="36" x14ac:dyDescent="0.25">
      <c r="A44" s="2">
        <v>41</v>
      </c>
      <c r="B44" s="2">
        <v>2023</v>
      </c>
      <c r="C44" s="2" t="s">
        <v>310</v>
      </c>
      <c r="D44" s="2" t="s">
        <v>348</v>
      </c>
      <c r="E44" s="2" t="s">
        <v>64</v>
      </c>
      <c r="F44" s="2" t="s">
        <v>117</v>
      </c>
      <c r="G44" s="2" t="s">
        <v>387</v>
      </c>
      <c r="H44" s="2">
        <v>6</v>
      </c>
      <c r="I44" s="2">
        <v>931923</v>
      </c>
      <c r="J44" s="2">
        <v>34.92</v>
      </c>
      <c r="K44" s="2">
        <v>2.7100000000000002E-3</v>
      </c>
      <c r="L44" s="2">
        <v>20.513999999999999</v>
      </c>
      <c r="M44" s="2">
        <v>2.5255000000000001</v>
      </c>
      <c r="N44" s="2">
        <v>716.34889999999996</v>
      </c>
      <c r="O44" s="2" t="s">
        <v>30</v>
      </c>
      <c r="P44" s="2" t="s">
        <v>388</v>
      </c>
      <c r="Q44" s="2" t="s">
        <v>322</v>
      </c>
    </row>
    <row r="45" spans="1:17" ht="36" x14ac:dyDescent="0.25">
      <c r="A45" s="3">
        <v>42</v>
      </c>
      <c r="B45" s="3">
        <v>2023</v>
      </c>
      <c r="C45" s="3" t="s">
        <v>305</v>
      </c>
      <c r="D45" s="3" t="s">
        <v>324</v>
      </c>
      <c r="E45" s="3" t="s">
        <v>64</v>
      </c>
      <c r="F45" s="3" t="s">
        <v>92</v>
      </c>
      <c r="G45" s="3" t="s">
        <v>389</v>
      </c>
      <c r="H45" s="3">
        <v>11</v>
      </c>
      <c r="I45" s="3">
        <v>634614</v>
      </c>
      <c r="J45" s="3">
        <v>15.85</v>
      </c>
      <c r="K45" s="3">
        <v>1.89E-3</v>
      </c>
      <c r="L45" s="3">
        <v>20.606999999999999</v>
      </c>
      <c r="M45" s="3">
        <v>1.1994</v>
      </c>
      <c r="N45" s="3">
        <v>326.62090000000001</v>
      </c>
      <c r="O45" s="3" t="s">
        <v>38</v>
      </c>
      <c r="P45" s="3" t="s">
        <v>390</v>
      </c>
      <c r="Q45" s="3" t="s">
        <v>309</v>
      </c>
    </row>
    <row r="46" spans="1:17" ht="24" x14ac:dyDescent="0.25">
      <c r="A46" s="2">
        <v>43</v>
      </c>
      <c r="B46" s="2">
        <v>2023</v>
      </c>
      <c r="C46" s="2" t="s">
        <v>345</v>
      </c>
      <c r="D46" s="2" t="s">
        <v>306</v>
      </c>
      <c r="E46" s="2" t="s">
        <v>47</v>
      </c>
      <c r="F46" s="2" t="s">
        <v>96</v>
      </c>
      <c r="G46" s="2" t="s">
        <v>391</v>
      </c>
      <c r="H46" s="2">
        <v>17</v>
      </c>
      <c r="I46" s="2">
        <v>1724966</v>
      </c>
      <c r="J46" s="2">
        <v>2.87</v>
      </c>
      <c r="K46" s="2">
        <v>2.8E-3</v>
      </c>
      <c r="L46" s="2">
        <v>7.7030000000000003</v>
      </c>
      <c r="M46" s="2">
        <v>4.8299000000000003</v>
      </c>
      <c r="N46" s="2">
        <v>22.107600000000001</v>
      </c>
      <c r="O46" s="2" t="s">
        <v>38</v>
      </c>
      <c r="P46" s="2" t="s">
        <v>392</v>
      </c>
      <c r="Q46" s="2" t="s">
        <v>322</v>
      </c>
    </row>
    <row r="47" spans="1:17" ht="36" x14ac:dyDescent="0.25">
      <c r="A47" s="3">
        <v>44</v>
      </c>
      <c r="B47" s="3">
        <v>2023</v>
      </c>
      <c r="C47" s="3" t="s">
        <v>310</v>
      </c>
      <c r="D47" s="3" t="s">
        <v>306</v>
      </c>
      <c r="E47" s="3" t="s">
        <v>57</v>
      </c>
      <c r="F47" s="3" t="s">
        <v>33</v>
      </c>
      <c r="G47" s="3" t="s">
        <v>393</v>
      </c>
      <c r="H47" s="3">
        <v>10</v>
      </c>
      <c r="I47" s="3">
        <v>994925</v>
      </c>
      <c r="J47" s="3">
        <v>25.13</v>
      </c>
      <c r="K47" s="3">
        <v>3.7399999999999998E-3</v>
      </c>
      <c r="L47" s="3">
        <v>13.558999999999999</v>
      </c>
      <c r="M47" s="3">
        <v>3.7210000000000001</v>
      </c>
      <c r="N47" s="3">
        <v>340.73770000000002</v>
      </c>
      <c r="O47" s="3" t="s">
        <v>38</v>
      </c>
      <c r="P47" s="3" t="s">
        <v>394</v>
      </c>
      <c r="Q47" s="3" t="s">
        <v>309</v>
      </c>
    </row>
    <row r="48" spans="1:17" ht="36" x14ac:dyDescent="0.25">
      <c r="A48" s="2">
        <v>45</v>
      </c>
      <c r="B48" s="2">
        <v>2023</v>
      </c>
      <c r="C48" s="2" t="s">
        <v>354</v>
      </c>
      <c r="D48" s="2" t="s">
        <v>306</v>
      </c>
      <c r="E48" s="2" t="s">
        <v>183</v>
      </c>
      <c r="F48" s="2" t="s">
        <v>96</v>
      </c>
      <c r="G48" s="2" t="s">
        <v>395</v>
      </c>
      <c r="H48" s="2">
        <v>16</v>
      </c>
      <c r="I48" s="2">
        <v>645817</v>
      </c>
      <c r="J48" s="2">
        <v>4.46</v>
      </c>
      <c r="K48" s="2">
        <v>2.81E-3</v>
      </c>
      <c r="L48" s="2">
        <v>8.4949999999999992</v>
      </c>
      <c r="M48" s="2">
        <v>1.8147</v>
      </c>
      <c r="N48" s="2">
        <v>37.887700000000002</v>
      </c>
      <c r="O48" s="2" t="s">
        <v>38</v>
      </c>
      <c r="P48" s="2" t="s">
        <v>396</v>
      </c>
      <c r="Q48" s="2" t="s">
        <v>322</v>
      </c>
    </row>
    <row r="49" spans="1:17" ht="24" x14ac:dyDescent="0.25">
      <c r="A49" s="3">
        <v>46</v>
      </c>
      <c r="B49" s="3">
        <v>2023</v>
      </c>
      <c r="C49" s="3" t="s">
        <v>335</v>
      </c>
      <c r="D49" s="3" t="s">
        <v>301</v>
      </c>
      <c r="E49" s="3" t="s">
        <v>47</v>
      </c>
      <c r="F49" s="3" t="s">
        <v>88</v>
      </c>
      <c r="G49" s="3" t="s">
        <v>373</v>
      </c>
      <c r="H49" s="3">
        <v>30</v>
      </c>
      <c r="I49" s="3">
        <v>1454995</v>
      </c>
      <c r="J49" s="3">
        <v>45.62</v>
      </c>
      <c r="K49" s="3">
        <v>2.65E-3</v>
      </c>
      <c r="L49" s="3">
        <v>11.552</v>
      </c>
      <c r="M49" s="3">
        <v>3.8557000000000001</v>
      </c>
      <c r="N49" s="3">
        <v>527.00220000000002</v>
      </c>
      <c r="O49" s="3" t="s">
        <v>38</v>
      </c>
      <c r="P49" s="3" t="s">
        <v>397</v>
      </c>
      <c r="Q49" s="3" t="s">
        <v>304</v>
      </c>
    </row>
    <row r="50" spans="1:17" ht="36" x14ac:dyDescent="0.25">
      <c r="A50" s="2">
        <v>47</v>
      </c>
      <c r="B50" s="2">
        <v>2023</v>
      </c>
      <c r="C50" s="2" t="s">
        <v>305</v>
      </c>
      <c r="D50" s="2" t="s">
        <v>328</v>
      </c>
      <c r="E50" s="2" t="s">
        <v>138</v>
      </c>
      <c r="F50" s="2" t="s">
        <v>24</v>
      </c>
      <c r="G50" s="2" t="s">
        <v>398</v>
      </c>
      <c r="H50" s="2">
        <v>29</v>
      </c>
      <c r="I50" s="2">
        <v>324174</v>
      </c>
      <c r="J50" s="2">
        <v>2.04</v>
      </c>
      <c r="K50" s="2">
        <v>3.47E-3</v>
      </c>
      <c r="L50" s="2">
        <v>17.338999999999999</v>
      </c>
      <c r="M50" s="2">
        <v>1.1249</v>
      </c>
      <c r="N50" s="2">
        <v>35.371600000000001</v>
      </c>
      <c r="O50" s="2" t="s">
        <v>38</v>
      </c>
      <c r="P50" s="2" t="s">
        <v>399</v>
      </c>
      <c r="Q50" s="2" t="s">
        <v>309</v>
      </c>
    </row>
    <row r="51" spans="1:17" ht="36" x14ac:dyDescent="0.25">
      <c r="A51" s="3">
        <v>48</v>
      </c>
      <c r="B51" s="3">
        <v>2023</v>
      </c>
      <c r="C51" s="3" t="s">
        <v>305</v>
      </c>
      <c r="D51" s="3" t="s">
        <v>314</v>
      </c>
      <c r="E51" s="3" t="s">
        <v>75</v>
      </c>
      <c r="F51" s="3" t="s">
        <v>204</v>
      </c>
      <c r="G51" s="3" t="s">
        <v>336</v>
      </c>
      <c r="H51" s="3">
        <v>23</v>
      </c>
      <c r="I51" s="3">
        <v>727490</v>
      </c>
      <c r="J51" s="3">
        <v>47.5</v>
      </c>
      <c r="K51" s="3">
        <v>6.0999999999999997E-4</v>
      </c>
      <c r="L51" s="3">
        <v>4.8520000000000003</v>
      </c>
      <c r="M51" s="3">
        <v>0.44379999999999997</v>
      </c>
      <c r="N51" s="3">
        <v>230.47</v>
      </c>
      <c r="O51" s="3" t="s">
        <v>30</v>
      </c>
      <c r="P51" s="3" t="s">
        <v>400</v>
      </c>
      <c r="Q51" s="3" t="s">
        <v>304</v>
      </c>
    </row>
    <row r="52" spans="1:17" ht="24" x14ac:dyDescent="0.25">
      <c r="A52" s="2">
        <v>49</v>
      </c>
      <c r="B52" s="2">
        <v>2023</v>
      </c>
      <c r="C52" s="2" t="s">
        <v>335</v>
      </c>
      <c r="D52" s="2" t="s">
        <v>342</v>
      </c>
      <c r="E52" s="2" t="s">
        <v>102</v>
      </c>
      <c r="F52" s="2" t="s">
        <v>139</v>
      </c>
      <c r="G52" s="2" t="s">
        <v>401</v>
      </c>
      <c r="H52" s="2">
        <v>22</v>
      </c>
      <c r="I52" s="2">
        <v>737065</v>
      </c>
      <c r="J52" s="2">
        <v>16.059999999999999</v>
      </c>
      <c r="K52" s="2">
        <v>1.48E-3</v>
      </c>
      <c r="L52" s="2">
        <v>24.06</v>
      </c>
      <c r="M52" s="2">
        <v>1.0909</v>
      </c>
      <c r="N52" s="2">
        <v>386.40359999999998</v>
      </c>
      <c r="O52" s="2" t="s">
        <v>30</v>
      </c>
      <c r="P52" s="2" t="s">
        <v>402</v>
      </c>
      <c r="Q52" s="2" t="s">
        <v>309</v>
      </c>
    </row>
    <row r="53" spans="1:17" ht="36" x14ac:dyDescent="0.25">
      <c r="A53" s="3">
        <v>50</v>
      </c>
      <c r="B53" s="3">
        <v>2023</v>
      </c>
      <c r="C53" s="3" t="s">
        <v>305</v>
      </c>
      <c r="D53" s="3" t="s">
        <v>316</v>
      </c>
      <c r="E53" s="3" t="s">
        <v>84</v>
      </c>
      <c r="F53" s="3" t="s">
        <v>110</v>
      </c>
      <c r="G53" s="3" t="s">
        <v>403</v>
      </c>
      <c r="H53" s="3">
        <v>19</v>
      </c>
      <c r="I53" s="3">
        <v>1551054</v>
      </c>
      <c r="J53" s="3">
        <v>35.35</v>
      </c>
      <c r="K53" s="3">
        <v>1.25E-3</v>
      </c>
      <c r="L53" s="3">
        <v>15.763</v>
      </c>
      <c r="M53" s="3">
        <v>1.9388000000000001</v>
      </c>
      <c r="N53" s="3">
        <v>557.22199999999998</v>
      </c>
      <c r="O53" s="3" t="s">
        <v>30</v>
      </c>
      <c r="P53" s="3" t="s">
        <v>404</v>
      </c>
      <c r="Q53" s="3" t="s">
        <v>304</v>
      </c>
    </row>
    <row r="54" spans="1:17" ht="24" x14ac:dyDescent="0.25">
      <c r="A54" s="2">
        <v>51</v>
      </c>
      <c r="B54" s="2">
        <v>2023</v>
      </c>
      <c r="C54" s="2" t="s">
        <v>345</v>
      </c>
      <c r="D54" s="2" t="s">
        <v>314</v>
      </c>
      <c r="E54" s="2" t="s">
        <v>57</v>
      </c>
      <c r="F54" s="2" t="s">
        <v>139</v>
      </c>
      <c r="G54" s="2" t="s">
        <v>405</v>
      </c>
      <c r="H54" s="2">
        <v>14</v>
      </c>
      <c r="I54" s="2">
        <v>892997</v>
      </c>
      <c r="J54" s="2">
        <v>4.8499999999999996</v>
      </c>
      <c r="K54" s="2">
        <v>2.8900000000000002E-3</v>
      </c>
      <c r="L54" s="2">
        <v>21.323</v>
      </c>
      <c r="M54" s="2">
        <v>2.5808</v>
      </c>
      <c r="N54" s="2">
        <v>103.4166</v>
      </c>
      <c r="O54" s="2" t="s">
        <v>38</v>
      </c>
      <c r="P54" s="2" t="s">
        <v>406</v>
      </c>
      <c r="Q54" s="2" t="s">
        <v>322</v>
      </c>
    </row>
    <row r="55" spans="1:17" ht="24" x14ac:dyDescent="0.25">
      <c r="A55" s="3">
        <v>52</v>
      </c>
      <c r="B55" s="3">
        <v>2023</v>
      </c>
      <c r="C55" s="3" t="s">
        <v>313</v>
      </c>
      <c r="D55" s="3" t="s">
        <v>316</v>
      </c>
      <c r="E55" s="3" t="s">
        <v>84</v>
      </c>
      <c r="F55" s="3" t="s">
        <v>65</v>
      </c>
      <c r="G55" s="3" t="s">
        <v>407</v>
      </c>
      <c r="H55" s="3">
        <v>12</v>
      </c>
      <c r="I55" s="3">
        <v>1425059</v>
      </c>
      <c r="J55" s="3">
        <v>46.4</v>
      </c>
      <c r="K55" s="3">
        <v>2.7299999999999998E-3</v>
      </c>
      <c r="L55" s="3">
        <v>20.09</v>
      </c>
      <c r="M55" s="3">
        <v>3.8904000000000001</v>
      </c>
      <c r="N55" s="3">
        <v>932.17600000000004</v>
      </c>
      <c r="O55" s="3" t="s">
        <v>38</v>
      </c>
      <c r="P55" s="3" t="s">
        <v>408</v>
      </c>
      <c r="Q55" s="3" t="s">
        <v>322</v>
      </c>
    </row>
    <row r="56" spans="1:17" ht="24" x14ac:dyDescent="0.25">
      <c r="A56" s="2">
        <v>53</v>
      </c>
      <c r="B56" s="2">
        <v>2023</v>
      </c>
      <c r="C56" s="2" t="s">
        <v>366</v>
      </c>
      <c r="D56" s="2" t="s">
        <v>359</v>
      </c>
      <c r="E56" s="2" t="s">
        <v>57</v>
      </c>
      <c r="F56" s="2" t="s">
        <v>24</v>
      </c>
      <c r="G56" s="2" t="s">
        <v>263</v>
      </c>
      <c r="H56" s="2">
        <v>17</v>
      </c>
      <c r="I56" s="2">
        <v>724989</v>
      </c>
      <c r="J56" s="2">
        <v>28.83</v>
      </c>
      <c r="K56" s="2">
        <v>2.14E-3</v>
      </c>
      <c r="L56" s="2">
        <v>24.596</v>
      </c>
      <c r="M56" s="2">
        <v>1.5515000000000001</v>
      </c>
      <c r="N56" s="2">
        <v>709.10270000000003</v>
      </c>
      <c r="O56" s="2" t="s">
        <v>38</v>
      </c>
      <c r="P56" s="2" t="s">
        <v>409</v>
      </c>
      <c r="Q56" s="2" t="s">
        <v>304</v>
      </c>
    </row>
    <row r="57" spans="1:17" ht="24" x14ac:dyDescent="0.25">
      <c r="A57" s="3">
        <v>54</v>
      </c>
      <c r="B57" s="3">
        <v>2023</v>
      </c>
      <c r="C57" s="3" t="s">
        <v>366</v>
      </c>
      <c r="D57" s="3" t="s">
        <v>314</v>
      </c>
      <c r="E57" s="3" t="s">
        <v>57</v>
      </c>
      <c r="F57" s="3" t="s">
        <v>204</v>
      </c>
      <c r="G57" s="3" t="s">
        <v>410</v>
      </c>
      <c r="H57" s="3">
        <v>26</v>
      </c>
      <c r="I57" s="3">
        <v>959937</v>
      </c>
      <c r="J57" s="3">
        <v>20.83</v>
      </c>
      <c r="K57" s="3">
        <v>1.9300000000000001E-3</v>
      </c>
      <c r="L57" s="3">
        <v>14.882999999999999</v>
      </c>
      <c r="M57" s="3">
        <v>1.8527</v>
      </c>
      <c r="N57" s="3">
        <v>310.0129</v>
      </c>
      <c r="O57" s="3" t="s">
        <v>38</v>
      </c>
      <c r="P57" s="3" t="s">
        <v>411</v>
      </c>
      <c r="Q57" s="3" t="s">
        <v>309</v>
      </c>
    </row>
    <row r="58" spans="1:17" ht="24" x14ac:dyDescent="0.25">
      <c r="A58" s="2">
        <v>55</v>
      </c>
      <c r="B58" s="2">
        <v>2023</v>
      </c>
      <c r="C58" s="2" t="s">
        <v>366</v>
      </c>
      <c r="D58" s="2" t="s">
        <v>306</v>
      </c>
      <c r="E58" s="2" t="s">
        <v>252</v>
      </c>
      <c r="F58" s="2" t="s">
        <v>70</v>
      </c>
      <c r="G58" s="2" t="s">
        <v>412</v>
      </c>
      <c r="H58" s="2">
        <v>8</v>
      </c>
      <c r="I58" s="2">
        <v>261028</v>
      </c>
      <c r="J58" s="2">
        <v>41.54</v>
      </c>
      <c r="K58" s="2">
        <v>2.4299999999999999E-3</v>
      </c>
      <c r="L58" s="2">
        <v>15.189</v>
      </c>
      <c r="M58" s="2">
        <v>0.63429999999999997</v>
      </c>
      <c r="N58" s="2">
        <v>630.9511</v>
      </c>
      <c r="O58" s="2" t="s">
        <v>38</v>
      </c>
      <c r="P58" s="2" t="s">
        <v>413</v>
      </c>
      <c r="Q58" s="2" t="s">
        <v>322</v>
      </c>
    </row>
    <row r="59" spans="1:17" ht="24" x14ac:dyDescent="0.25">
      <c r="A59" s="3">
        <v>56</v>
      </c>
      <c r="B59" s="3">
        <v>2023</v>
      </c>
      <c r="C59" s="3" t="s">
        <v>313</v>
      </c>
      <c r="D59" s="3" t="s">
        <v>324</v>
      </c>
      <c r="E59" s="3" t="s">
        <v>57</v>
      </c>
      <c r="F59" s="3" t="s">
        <v>117</v>
      </c>
      <c r="G59" s="3" t="s">
        <v>414</v>
      </c>
      <c r="H59" s="3">
        <v>25</v>
      </c>
      <c r="I59" s="3">
        <v>611728</v>
      </c>
      <c r="J59" s="3">
        <v>8.52</v>
      </c>
      <c r="K59" s="3">
        <v>3.7699999999999999E-3</v>
      </c>
      <c r="L59" s="3">
        <v>6.5659999999999998</v>
      </c>
      <c r="M59" s="3">
        <v>2.3062</v>
      </c>
      <c r="N59" s="3">
        <v>55.942300000000003</v>
      </c>
      <c r="O59" s="3" t="s">
        <v>38</v>
      </c>
      <c r="P59" s="3" t="s">
        <v>415</v>
      </c>
      <c r="Q59" s="3" t="s">
        <v>309</v>
      </c>
    </row>
    <row r="60" spans="1:17" ht="24" x14ac:dyDescent="0.25">
      <c r="A60" s="2">
        <v>57</v>
      </c>
      <c r="B60" s="2">
        <v>2023</v>
      </c>
      <c r="C60" s="2" t="s">
        <v>366</v>
      </c>
      <c r="D60" s="2" t="s">
        <v>359</v>
      </c>
      <c r="E60" s="2" t="s">
        <v>166</v>
      </c>
      <c r="F60" s="2" t="s">
        <v>110</v>
      </c>
      <c r="G60" s="2" t="s">
        <v>254</v>
      </c>
      <c r="H60" s="2">
        <v>26</v>
      </c>
      <c r="I60" s="2">
        <v>254715</v>
      </c>
      <c r="J60" s="2">
        <v>15.49</v>
      </c>
      <c r="K60" s="2">
        <v>2.3700000000000001E-3</v>
      </c>
      <c r="L60" s="2">
        <v>13.161</v>
      </c>
      <c r="M60" s="2">
        <v>0.60370000000000001</v>
      </c>
      <c r="N60" s="2">
        <v>203.8639</v>
      </c>
      <c r="O60" s="2" t="s">
        <v>38</v>
      </c>
      <c r="P60" s="2" t="s">
        <v>416</v>
      </c>
      <c r="Q60" s="2" t="s">
        <v>304</v>
      </c>
    </row>
    <row r="61" spans="1:17" ht="24" x14ac:dyDescent="0.25">
      <c r="A61" s="3">
        <v>58</v>
      </c>
      <c r="B61" s="3">
        <v>2023</v>
      </c>
      <c r="C61" s="3" t="s">
        <v>335</v>
      </c>
      <c r="D61" s="3" t="s">
        <v>301</v>
      </c>
      <c r="E61" s="3" t="s">
        <v>64</v>
      </c>
      <c r="F61" s="3" t="s">
        <v>154</v>
      </c>
      <c r="G61" s="3" t="s">
        <v>417</v>
      </c>
      <c r="H61" s="3">
        <v>13</v>
      </c>
      <c r="I61" s="3">
        <v>1804492</v>
      </c>
      <c r="J61" s="3">
        <v>17.21</v>
      </c>
      <c r="K61" s="3">
        <v>3.7299999999999998E-3</v>
      </c>
      <c r="L61" s="3">
        <v>2.1800000000000002</v>
      </c>
      <c r="M61" s="3">
        <v>6.7308000000000003</v>
      </c>
      <c r="N61" s="3">
        <v>37.517800000000001</v>
      </c>
      <c r="O61" s="3" t="s">
        <v>38</v>
      </c>
      <c r="P61" s="3" t="s">
        <v>418</v>
      </c>
      <c r="Q61" s="3" t="s">
        <v>322</v>
      </c>
    </row>
    <row r="62" spans="1:17" ht="24" x14ac:dyDescent="0.25">
      <c r="A62" s="2">
        <v>59</v>
      </c>
      <c r="B62" s="2">
        <v>2023</v>
      </c>
      <c r="C62" s="2" t="s">
        <v>313</v>
      </c>
      <c r="D62" s="2" t="s">
        <v>324</v>
      </c>
      <c r="E62" s="2" t="s">
        <v>159</v>
      </c>
      <c r="F62" s="2" t="s">
        <v>204</v>
      </c>
      <c r="G62" s="2" t="s">
        <v>62</v>
      </c>
      <c r="H62" s="2">
        <v>30</v>
      </c>
      <c r="I62" s="2">
        <v>1535083</v>
      </c>
      <c r="J62" s="2">
        <v>21.12</v>
      </c>
      <c r="K62" s="2">
        <v>2.7399999999999998E-3</v>
      </c>
      <c r="L62" s="2">
        <v>13.053000000000001</v>
      </c>
      <c r="M62" s="2">
        <v>4.2061000000000002</v>
      </c>
      <c r="N62" s="2">
        <v>275.67939999999999</v>
      </c>
      <c r="O62" s="2" t="s">
        <v>38</v>
      </c>
      <c r="P62" s="2" t="s">
        <v>419</v>
      </c>
      <c r="Q62" s="2" t="s">
        <v>309</v>
      </c>
    </row>
    <row r="63" spans="1:17" ht="36" x14ac:dyDescent="0.25">
      <c r="A63" s="3">
        <v>60</v>
      </c>
      <c r="B63" s="3">
        <v>2023</v>
      </c>
      <c r="C63" s="3" t="s">
        <v>305</v>
      </c>
      <c r="D63" s="3" t="s">
        <v>348</v>
      </c>
      <c r="E63" s="3" t="s">
        <v>95</v>
      </c>
      <c r="F63" s="3" t="s">
        <v>88</v>
      </c>
      <c r="G63" s="3" t="s">
        <v>261</v>
      </c>
      <c r="H63" s="3">
        <v>9</v>
      </c>
      <c r="I63" s="3">
        <v>598381</v>
      </c>
      <c r="J63" s="3">
        <v>4.1100000000000003</v>
      </c>
      <c r="K63" s="3">
        <v>7.1000000000000002E-4</v>
      </c>
      <c r="L63" s="3">
        <v>11.663</v>
      </c>
      <c r="M63" s="3">
        <v>0.4249</v>
      </c>
      <c r="N63" s="3">
        <v>47.934899999999999</v>
      </c>
      <c r="O63" s="3" t="s">
        <v>38</v>
      </c>
      <c r="P63" s="3" t="s">
        <v>420</v>
      </c>
      <c r="Q63" s="3" t="s">
        <v>304</v>
      </c>
    </row>
    <row r="64" spans="1:17" ht="24" x14ac:dyDescent="0.25">
      <c r="A64" s="2">
        <v>61</v>
      </c>
      <c r="B64" s="2">
        <v>2023</v>
      </c>
      <c r="C64" s="2" t="s">
        <v>345</v>
      </c>
      <c r="D64" s="2" t="s">
        <v>319</v>
      </c>
      <c r="E64" s="2" t="s">
        <v>23</v>
      </c>
      <c r="F64" s="2" t="s">
        <v>24</v>
      </c>
      <c r="G64" s="2" t="s">
        <v>421</v>
      </c>
      <c r="H64" s="2">
        <v>12</v>
      </c>
      <c r="I64" s="2">
        <v>642036</v>
      </c>
      <c r="J64" s="2">
        <v>49.41</v>
      </c>
      <c r="K64" s="2">
        <v>1.7099999999999999E-3</v>
      </c>
      <c r="L64" s="2">
        <v>10.689</v>
      </c>
      <c r="M64" s="2">
        <v>1.0979000000000001</v>
      </c>
      <c r="N64" s="2">
        <v>528.14350000000002</v>
      </c>
      <c r="O64" s="2" t="s">
        <v>38</v>
      </c>
      <c r="P64" s="2" t="s">
        <v>422</v>
      </c>
      <c r="Q64" s="2" t="s">
        <v>322</v>
      </c>
    </row>
    <row r="65" spans="1:17" ht="24" x14ac:dyDescent="0.25">
      <c r="A65" s="3">
        <v>62</v>
      </c>
      <c r="B65" s="3">
        <v>2023</v>
      </c>
      <c r="C65" s="3" t="s">
        <v>300</v>
      </c>
      <c r="D65" s="3" t="s">
        <v>359</v>
      </c>
      <c r="E65" s="3" t="s">
        <v>105</v>
      </c>
      <c r="F65" s="3" t="s">
        <v>65</v>
      </c>
      <c r="G65" s="3" t="s">
        <v>423</v>
      </c>
      <c r="H65" s="3">
        <v>15</v>
      </c>
      <c r="I65" s="3">
        <v>538606</v>
      </c>
      <c r="J65" s="3">
        <v>12.77</v>
      </c>
      <c r="K65" s="3">
        <v>8.4000000000000003E-4</v>
      </c>
      <c r="L65" s="3">
        <v>8.1069999999999993</v>
      </c>
      <c r="M65" s="3">
        <v>0.45240000000000002</v>
      </c>
      <c r="N65" s="3">
        <v>103.5264</v>
      </c>
      <c r="O65" s="3" t="s">
        <v>38</v>
      </c>
      <c r="P65" s="3" t="s">
        <v>424</v>
      </c>
      <c r="Q65" s="3" t="s">
        <v>304</v>
      </c>
    </row>
    <row r="66" spans="1:17" ht="36" x14ac:dyDescent="0.25">
      <c r="A66" s="2">
        <v>63</v>
      </c>
      <c r="B66" s="2">
        <v>2023</v>
      </c>
      <c r="C66" s="2" t="s">
        <v>305</v>
      </c>
      <c r="D66" s="2" t="s">
        <v>324</v>
      </c>
      <c r="E66" s="2" t="s">
        <v>102</v>
      </c>
      <c r="F66" s="2" t="s">
        <v>120</v>
      </c>
      <c r="G66" s="2" t="s">
        <v>425</v>
      </c>
      <c r="H66" s="2">
        <v>17</v>
      </c>
      <c r="I66" s="2">
        <v>628866</v>
      </c>
      <c r="J66" s="2">
        <v>38.270000000000003</v>
      </c>
      <c r="K66" s="2">
        <v>2.2399999999999998E-3</v>
      </c>
      <c r="L66" s="2">
        <v>13.45</v>
      </c>
      <c r="M66" s="2">
        <v>1.4087000000000001</v>
      </c>
      <c r="N66" s="2">
        <v>514.73149999999998</v>
      </c>
      <c r="O66" s="2" t="s">
        <v>38</v>
      </c>
      <c r="P66" s="2" t="s">
        <v>426</v>
      </c>
      <c r="Q66" s="2" t="s">
        <v>309</v>
      </c>
    </row>
    <row r="67" spans="1:17" ht="36" x14ac:dyDescent="0.25">
      <c r="A67" s="3">
        <v>64</v>
      </c>
      <c r="B67" s="3">
        <v>2023</v>
      </c>
      <c r="C67" s="3" t="s">
        <v>305</v>
      </c>
      <c r="D67" s="3" t="s">
        <v>359</v>
      </c>
      <c r="E67" s="3" t="s">
        <v>102</v>
      </c>
      <c r="F67" s="3" t="s">
        <v>117</v>
      </c>
      <c r="G67" s="3" t="s">
        <v>427</v>
      </c>
      <c r="H67" s="3">
        <v>5</v>
      </c>
      <c r="I67" s="3">
        <v>1933540</v>
      </c>
      <c r="J67" s="3">
        <v>11.15</v>
      </c>
      <c r="K67" s="3">
        <v>1.74E-3</v>
      </c>
      <c r="L67" s="3">
        <v>2.403</v>
      </c>
      <c r="M67" s="3">
        <v>3.3643999999999998</v>
      </c>
      <c r="N67" s="3">
        <v>26.793399999999998</v>
      </c>
      <c r="O67" s="3" t="s">
        <v>30</v>
      </c>
      <c r="P67" s="3" t="s">
        <v>428</v>
      </c>
      <c r="Q67" s="3" t="s">
        <v>309</v>
      </c>
    </row>
    <row r="68" spans="1:17" ht="24" x14ac:dyDescent="0.25">
      <c r="A68" s="2">
        <v>65</v>
      </c>
      <c r="B68" s="2">
        <v>2023</v>
      </c>
      <c r="C68" s="2" t="s">
        <v>335</v>
      </c>
      <c r="D68" s="2" t="s">
        <v>306</v>
      </c>
      <c r="E68" s="2" t="s">
        <v>64</v>
      </c>
      <c r="F68" s="2" t="s">
        <v>58</v>
      </c>
      <c r="G68" s="2" t="s">
        <v>429</v>
      </c>
      <c r="H68" s="2">
        <v>11</v>
      </c>
      <c r="I68" s="2">
        <v>272200</v>
      </c>
      <c r="J68" s="2">
        <v>13.59</v>
      </c>
      <c r="K68" s="2">
        <v>1.7799999999999999E-3</v>
      </c>
      <c r="L68" s="2">
        <v>10.797000000000001</v>
      </c>
      <c r="M68" s="2">
        <v>0.48449999999999999</v>
      </c>
      <c r="N68" s="2">
        <v>146.7312</v>
      </c>
      <c r="O68" s="2" t="s">
        <v>38</v>
      </c>
      <c r="P68" s="2" t="s">
        <v>430</v>
      </c>
      <c r="Q68" s="2" t="s">
        <v>304</v>
      </c>
    </row>
    <row r="69" spans="1:17" ht="36" x14ac:dyDescent="0.25">
      <c r="A69" s="3">
        <v>66</v>
      </c>
      <c r="B69" s="3">
        <v>2023</v>
      </c>
      <c r="C69" s="3" t="s">
        <v>354</v>
      </c>
      <c r="D69" s="3" t="s">
        <v>359</v>
      </c>
      <c r="E69" s="3" t="s">
        <v>84</v>
      </c>
      <c r="F69" s="3" t="s">
        <v>110</v>
      </c>
      <c r="G69" s="3" t="s">
        <v>44</v>
      </c>
      <c r="H69" s="3">
        <v>17</v>
      </c>
      <c r="I69" s="3">
        <v>580760</v>
      </c>
      <c r="J69" s="3">
        <v>19.62</v>
      </c>
      <c r="K69" s="3">
        <v>2.0799999999999998E-3</v>
      </c>
      <c r="L69" s="3">
        <v>14.287000000000001</v>
      </c>
      <c r="M69" s="3">
        <v>1.208</v>
      </c>
      <c r="N69" s="3">
        <v>280.3109</v>
      </c>
      <c r="O69" s="3" t="s">
        <v>38</v>
      </c>
      <c r="P69" s="3" t="s">
        <v>431</v>
      </c>
      <c r="Q69" s="3" t="s">
        <v>309</v>
      </c>
    </row>
    <row r="70" spans="1:17" ht="24" x14ac:dyDescent="0.25">
      <c r="A70" s="2">
        <v>67</v>
      </c>
      <c r="B70" s="2">
        <v>2023</v>
      </c>
      <c r="C70" s="2" t="s">
        <v>300</v>
      </c>
      <c r="D70" s="2" t="s">
        <v>319</v>
      </c>
      <c r="E70" s="2" t="s">
        <v>64</v>
      </c>
      <c r="F70" s="2" t="s">
        <v>120</v>
      </c>
      <c r="G70" s="2" t="s">
        <v>432</v>
      </c>
      <c r="H70" s="2">
        <v>9</v>
      </c>
      <c r="I70" s="2">
        <v>1117875</v>
      </c>
      <c r="J70" s="2">
        <v>18.600000000000001</v>
      </c>
      <c r="K70" s="2">
        <v>1E-3</v>
      </c>
      <c r="L70" s="2">
        <v>15.539</v>
      </c>
      <c r="M70" s="2">
        <v>1.1178999999999999</v>
      </c>
      <c r="N70" s="2">
        <v>289.02539999999999</v>
      </c>
      <c r="O70" s="2" t="s">
        <v>38</v>
      </c>
      <c r="P70" s="2" t="s">
        <v>433</v>
      </c>
      <c r="Q70" s="2" t="s">
        <v>309</v>
      </c>
    </row>
    <row r="71" spans="1:17" ht="24" x14ac:dyDescent="0.25">
      <c r="A71" s="3">
        <v>68</v>
      </c>
      <c r="B71" s="3">
        <v>2023</v>
      </c>
      <c r="C71" s="3" t="s">
        <v>366</v>
      </c>
      <c r="D71" s="3" t="s">
        <v>314</v>
      </c>
      <c r="E71" s="3" t="s">
        <v>87</v>
      </c>
      <c r="F71" s="3" t="s">
        <v>88</v>
      </c>
      <c r="G71" s="3" t="s">
        <v>193</v>
      </c>
      <c r="H71" s="3">
        <v>17</v>
      </c>
      <c r="I71" s="3">
        <v>1608912</v>
      </c>
      <c r="J71" s="3">
        <v>26.21</v>
      </c>
      <c r="K71" s="3">
        <v>1.0200000000000001E-3</v>
      </c>
      <c r="L71" s="3">
        <v>22.457000000000001</v>
      </c>
      <c r="M71" s="3">
        <v>1.6411</v>
      </c>
      <c r="N71" s="3">
        <v>588.59799999999996</v>
      </c>
      <c r="O71" s="3" t="s">
        <v>38</v>
      </c>
      <c r="P71" s="3" t="s">
        <v>434</v>
      </c>
      <c r="Q71" s="3" t="s">
        <v>304</v>
      </c>
    </row>
    <row r="72" spans="1:17" ht="36" x14ac:dyDescent="0.25">
      <c r="A72" s="2">
        <v>69</v>
      </c>
      <c r="B72" s="2">
        <v>2023</v>
      </c>
      <c r="C72" s="2" t="s">
        <v>305</v>
      </c>
      <c r="D72" s="2" t="s">
        <v>359</v>
      </c>
      <c r="E72" s="2" t="s">
        <v>159</v>
      </c>
      <c r="F72" s="2" t="s">
        <v>204</v>
      </c>
      <c r="G72" s="2" t="s">
        <v>435</v>
      </c>
      <c r="H72" s="2">
        <v>16</v>
      </c>
      <c r="I72" s="2">
        <v>1685991</v>
      </c>
      <c r="J72" s="2">
        <v>29.89</v>
      </c>
      <c r="K72" s="2">
        <v>2.2799999999999999E-3</v>
      </c>
      <c r="L72" s="2">
        <v>13.331</v>
      </c>
      <c r="M72" s="2">
        <v>3.8441000000000001</v>
      </c>
      <c r="N72" s="2">
        <v>398.46359999999999</v>
      </c>
      <c r="O72" s="2" t="s">
        <v>38</v>
      </c>
      <c r="P72" s="2" t="s">
        <v>436</v>
      </c>
      <c r="Q72" s="2" t="s">
        <v>304</v>
      </c>
    </row>
    <row r="73" spans="1:17" ht="24" x14ac:dyDescent="0.25">
      <c r="A73" s="3">
        <v>70</v>
      </c>
      <c r="B73" s="3">
        <v>2023</v>
      </c>
      <c r="C73" s="3" t="s">
        <v>335</v>
      </c>
      <c r="D73" s="3" t="s">
        <v>359</v>
      </c>
      <c r="E73" s="3" t="s">
        <v>102</v>
      </c>
      <c r="F73" s="3" t="s">
        <v>117</v>
      </c>
      <c r="G73" s="3" t="s">
        <v>302</v>
      </c>
      <c r="H73" s="3">
        <v>30</v>
      </c>
      <c r="I73" s="3">
        <v>223661</v>
      </c>
      <c r="J73" s="3">
        <v>21.12</v>
      </c>
      <c r="K73" s="3">
        <v>1.58E-3</v>
      </c>
      <c r="L73" s="3">
        <v>22.591000000000001</v>
      </c>
      <c r="M73" s="3">
        <v>0.35339999999999999</v>
      </c>
      <c r="N73" s="3">
        <v>477.12189999999998</v>
      </c>
      <c r="O73" s="3" t="s">
        <v>38</v>
      </c>
      <c r="P73" s="3" t="s">
        <v>437</v>
      </c>
      <c r="Q73" s="3" t="s">
        <v>304</v>
      </c>
    </row>
    <row r="74" spans="1:17" ht="36" x14ac:dyDescent="0.25">
      <c r="A74" s="2">
        <v>71</v>
      </c>
      <c r="B74" s="2">
        <v>2023</v>
      </c>
      <c r="C74" s="2" t="s">
        <v>354</v>
      </c>
      <c r="D74" s="2" t="s">
        <v>306</v>
      </c>
      <c r="E74" s="2" t="s">
        <v>138</v>
      </c>
      <c r="F74" s="2" t="s">
        <v>54</v>
      </c>
      <c r="G74" s="2" t="s">
        <v>438</v>
      </c>
      <c r="H74" s="2">
        <v>12</v>
      </c>
      <c r="I74" s="2">
        <v>458949</v>
      </c>
      <c r="J74" s="2">
        <v>3.04</v>
      </c>
      <c r="K74" s="2">
        <v>2.1800000000000001E-3</v>
      </c>
      <c r="L74" s="2">
        <v>13.677</v>
      </c>
      <c r="M74" s="2">
        <v>1.0004999999999999</v>
      </c>
      <c r="N74" s="2">
        <v>41.578099999999999</v>
      </c>
      <c r="O74" s="2" t="s">
        <v>30</v>
      </c>
      <c r="P74" s="2" t="s">
        <v>439</v>
      </c>
      <c r="Q74" s="2" t="s">
        <v>304</v>
      </c>
    </row>
    <row r="75" spans="1:17" ht="24" x14ac:dyDescent="0.25">
      <c r="A75" s="3">
        <v>72</v>
      </c>
      <c r="B75" s="3">
        <v>2023</v>
      </c>
      <c r="C75" s="3" t="s">
        <v>366</v>
      </c>
      <c r="D75" s="3" t="s">
        <v>306</v>
      </c>
      <c r="E75" s="3" t="s">
        <v>95</v>
      </c>
      <c r="F75" s="3" t="s">
        <v>33</v>
      </c>
      <c r="G75" s="3" t="s">
        <v>440</v>
      </c>
      <c r="H75" s="3">
        <v>29</v>
      </c>
      <c r="I75" s="3">
        <v>1896669</v>
      </c>
      <c r="J75" s="3">
        <v>5.94</v>
      </c>
      <c r="K75" s="3">
        <v>5.6999999999999998E-4</v>
      </c>
      <c r="L75" s="3">
        <v>8.6660000000000004</v>
      </c>
      <c r="M75" s="3">
        <v>1.0810999999999999</v>
      </c>
      <c r="N75" s="3">
        <v>51.475999999999999</v>
      </c>
      <c r="O75" s="3" t="s">
        <v>38</v>
      </c>
      <c r="P75" s="3" t="s">
        <v>441</v>
      </c>
      <c r="Q75" s="3" t="s">
        <v>309</v>
      </c>
    </row>
    <row r="76" spans="1:17" ht="36" x14ac:dyDescent="0.25">
      <c r="A76" s="2">
        <v>73</v>
      </c>
      <c r="B76" s="2">
        <v>2023</v>
      </c>
      <c r="C76" s="2" t="s">
        <v>331</v>
      </c>
      <c r="D76" s="2" t="s">
        <v>319</v>
      </c>
      <c r="E76" s="2" t="s">
        <v>40</v>
      </c>
      <c r="F76" s="2" t="s">
        <v>154</v>
      </c>
      <c r="G76" s="2" t="s">
        <v>123</v>
      </c>
      <c r="H76" s="2">
        <v>21</v>
      </c>
      <c r="I76" s="2">
        <v>1746271</v>
      </c>
      <c r="J76" s="2">
        <v>36.92</v>
      </c>
      <c r="K76" s="2">
        <v>7.2000000000000005E-4</v>
      </c>
      <c r="L76" s="2">
        <v>4.4859999999999998</v>
      </c>
      <c r="M76" s="2">
        <v>1.2573000000000001</v>
      </c>
      <c r="N76" s="2">
        <v>165.62309999999999</v>
      </c>
      <c r="O76" s="2" t="s">
        <v>38</v>
      </c>
      <c r="P76" s="2" t="s">
        <v>442</v>
      </c>
      <c r="Q76" s="2" t="s">
        <v>309</v>
      </c>
    </row>
    <row r="77" spans="1:17" ht="24" x14ac:dyDescent="0.25">
      <c r="A77" s="3">
        <v>74</v>
      </c>
      <c r="B77" s="3">
        <v>2023</v>
      </c>
      <c r="C77" s="3" t="s">
        <v>323</v>
      </c>
      <c r="D77" s="3" t="s">
        <v>359</v>
      </c>
      <c r="E77" s="3" t="s">
        <v>102</v>
      </c>
      <c r="F77" s="3" t="s">
        <v>65</v>
      </c>
      <c r="G77" s="3" t="s">
        <v>125</v>
      </c>
      <c r="H77" s="3">
        <v>13</v>
      </c>
      <c r="I77" s="3">
        <v>1913588</v>
      </c>
      <c r="J77" s="3">
        <v>23.25</v>
      </c>
      <c r="K77" s="3">
        <v>2.3700000000000001E-3</v>
      </c>
      <c r="L77" s="3">
        <v>14.201000000000001</v>
      </c>
      <c r="M77" s="3">
        <v>4.5351999999999997</v>
      </c>
      <c r="N77" s="3">
        <v>330.17320000000001</v>
      </c>
      <c r="O77" s="3" t="s">
        <v>38</v>
      </c>
      <c r="P77" s="3" t="s">
        <v>443</v>
      </c>
      <c r="Q77" s="3" t="s">
        <v>309</v>
      </c>
    </row>
    <row r="78" spans="1:17" ht="36" x14ac:dyDescent="0.25">
      <c r="A78" s="2">
        <v>75</v>
      </c>
      <c r="B78" s="2">
        <v>2023</v>
      </c>
      <c r="C78" s="2" t="s">
        <v>331</v>
      </c>
      <c r="D78" s="2" t="s">
        <v>348</v>
      </c>
      <c r="E78" s="2" t="s">
        <v>40</v>
      </c>
      <c r="F78" s="2" t="s">
        <v>204</v>
      </c>
      <c r="G78" s="2" t="s">
        <v>444</v>
      </c>
      <c r="H78" s="2">
        <v>22</v>
      </c>
      <c r="I78" s="2">
        <v>453610</v>
      </c>
      <c r="J78" s="2">
        <v>48.66</v>
      </c>
      <c r="K78" s="2">
        <v>1.5399999999999999E-3</v>
      </c>
      <c r="L78" s="2">
        <v>8.0779999999999994</v>
      </c>
      <c r="M78" s="2">
        <v>0.6986</v>
      </c>
      <c r="N78" s="2">
        <v>393.07549999999998</v>
      </c>
      <c r="O78" s="2" t="s">
        <v>38</v>
      </c>
      <c r="P78" s="2" t="s">
        <v>445</v>
      </c>
      <c r="Q78" s="2" t="s">
        <v>309</v>
      </c>
    </row>
    <row r="79" spans="1:17" ht="24" x14ac:dyDescent="0.25">
      <c r="A79" s="3">
        <v>76</v>
      </c>
      <c r="B79" s="3">
        <v>2023</v>
      </c>
      <c r="C79" s="3" t="s">
        <v>300</v>
      </c>
      <c r="D79" s="3" t="s">
        <v>314</v>
      </c>
      <c r="E79" s="3" t="s">
        <v>138</v>
      </c>
      <c r="F79" s="3" t="s">
        <v>117</v>
      </c>
      <c r="G79" s="3" t="s">
        <v>351</v>
      </c>
      <c r="H79" s="3">
        <v>14</v>
      </c>
      <c r="I79" s="3">
        <v>579140</v>
      </c>
      <c r="J79" s="3">
        <v>28.89</v>
      </c>
      <c r="K79" s="3">
        <v>2.3999999999999998E-3</v>
      </c>
      <c r="L79" s="3">
        <v>22.518999999999998</v>
      </c>
      <c r="M79" s="3">
        <v>1.3898999999999999</v>
      </c>
      <c r="N79" s="3">
        <v>650.57389999999998</v>
      </c>
      <c r="O79" s="3" t="s">
        <v>38</v>
      </c>
      <c r="P79" s="3" t="s">
        <v>446</v>
      </c>
      <c r="Q79" s="3" t="s">
        <v>322</v>
      </c>
    </row>
    <row r="80" spans="1:17" ht="36" x14ac:dyDescent="0.25">
      <c r="A80" s="2">
        <v>77</v>
      </c>
      <c r="B80" s="2">
        <v>2023</v>
      </c>
      <c r="C80" s="2" t="s">
        <v>331</v>
      </c>
      <c r="D80" s="2" t="s">
        <v>319</v>
      </c>
      <c r="E80" s="2" t="s">
        <v>133</v>
      </c>
      <c r="F80" s="2" t="s">
        <v>70</v>
      </c>
      <c r="G80" s="2" t="s">
        <v>429</v>
      </c>
      <c r="H80" s="2">
        <v>27</v>
      </c>
      <c r="I80" s="2">
        <v>695995</v>
      </c>
      <c r="J80" s="2">
        <v>22.4</v>
      </c>
      <c r="K80" s="2">
        <v>1.4E-3</v>
      </c>
      <c r="L80" s="2">
        <v>12.602</v>
      </c>
      <c r="M80" s="2">
        <v>0.97440000000000004</v>
      </c>
      <c r="N80" s="2">
        <v>282.28480000000002</v>
      </c>
      <c r="O80" s="2" t="s">
        <v>38</v>
      </c>
      <c r="P80" s="2" t="s">
        <v>447</v>
      </c>
      <c r="Q80" s="2" t="s">
        <v>322</v>
      </c>
    </row>
    <row r="81" spans="1:17" ht="24" x14ac:dyDescent="0.25">
      <c r="A81" s="3">
        <v>78</v>
      </c>
      <c r="B81" s="3">
        <v>2023</v>
      </c>
      <c r="C81" s="3" t="s">
        <v>313</v>
      </c>
      <c r="D81" s="3" t="s">
        <v>316</v>
      </c>
      <c r="E81" s="3" t="s">
        <v>53</v>
      </c>
      <c r="F81" s="3" t="s">
        <v>120</v>
      </c>
      <c r="G81" s="3" t="s">
        <v>448</v>
      </c>
      <c r="H81" s="3">
        <v>18</v>
      </c>
      <c r="I81" s="3">
        <v>222907</v>
      </c>
      <c r="J81" s="3">
        <v>37.17</v>
      </c>
      <c r="K81" s="3">
        <v>1.34E-3</v>
      </c>
      <c r="L81" s="3">
        <v>2.4079999999999999</v>
      </c>
      <c r="M81" s="3">
        <v>0.29870000000000002</v>
      </c>
      <c r="N81" s="3">
        <v>89.505399999999995</v>
      </c>
      <c r="O81" s="3" t="s">
        <v>38</v>
      </c>
      <c r="P81" s="3" t="s">
        <v>449</v>
      </c>
      <c r="Q81" s="3" t="s">
        <v>304</v>
      </c>
    </row>
    <row r="82" spans="1:17" ht="24" x14ac:dyDescent="0.25">
      <c r="A82" s="2">
        <v>79</v>
      </c>
      <c r="B82" s="2">
        <v>2023</v>
      </c>
      <c r="C82" s="2" t="s">
        <v>366</v>
      </c>
      <c r="D82" s="2" t="s">
        <v>306</v>
      </c>
      <c r="E82" s="2" t="s">
        <v>102</v>
      </c>
      <c r="F82" s="2" t="s">
        <v>204</v>
      </c>
      <c r="G82" s="2" t="s">
        <v>450</v>
      </c>
      <c r="H82" s="2">
        <v>11</v>
      </c>
      <c r="I82" s="2">
        <v>947446</v>
      </c>
      <c r="J82" s="2">
        <v>34.22</v>
      </c>
      <c r="K82" s="2">
        <v>9.7999999999999997E-4</v>
      </c>
      <c r="L82" s="2">
        <v>24.155999999999999</v>
      </c>
      <c r="M82" s="2">
        <v>0.92849999999999999</v>
      </c>
      <c r="N82" s="2">
        <v>826.61829999999998</v>
      </c>
      <c r="O82" s="2" t="s">
        <v>38</v>
      </c>
      <c r="P82" s="2" t="s">
        <v>451</v>
      </c>
      <c r="Q82" s="2" t="s">
        <v>309</v>
      </c>
    </row>
    <row r="83" spans="1:17" ht="36" x14ac:dyDescent="0.25">
      <c r="A83" s="3">
        <v>80</v>
      </c>
      <c r="B83" s="3">
        <v>2023</v>
      </c>
      <c r="C83" s="3" t="s">
        <v>331</v>
      </c>
      <c r="D83" s="3" t="s">
        <v>319</v>
      </c>
      <c r="E83" s="3" t="s">
        <v>64</v>
      </c>
      <c r="F83" s="3" t="s">
        <v>70</v>
      </c>
      <c r="G83" s="3" t="s">
        <v>452</v>
      </c>
      <c r="H83" s="3">
        <v>18</v>
      </c>
      <c r="I83" s="3">
        <v>574404</v>
      </c>
      <c r="J83" s="3">
        <v>3.43</v>
      </c>
      <c r="K83" s="3">
        <v>3.1900000000000001E-3</v>
      </c>
      <c r="L83" s="3">
        <v>16.725000000000001</v>
      </c>
      <c r="M83" s="3">
        <v>1.8323</v>
      </c>
      <c r="N83" s="3">
        <v>57.366799999999998</v>
      </c>
      <c r="O83" s="3" t="s">
        <v>30</v>
      </c>
      <c r="P83" s="3" t="s">
        <v>453</v>
      </c>
      <c r="Q83" s="3" t="s">
        <v>322</v>
      </c>
    </row>
    <row r="84" spans="1:17" ht="24" x14ac:dyDescent="0.25">
      <c r="A84" s="2">
        <v>81</v>
      </c>
      <c r="B84" s="2">
        <v>2023</v>
      </c>
      <c r="C84" s="2" t="s">
        <v>323</v>
      </c>
      <c r="D84" s="2" t="s">
        <v>328</v>
      </c>
      <c r="E84" s="2" t="s">
        <v>230</v>
      </c>
      <c r="F84" s="2" t="s">
        <v>117</v>
      </c>
      <c r="G84" s="2" t="s">
        <v>454</v>
      </c>
      <c r="H84" s="2">
        <v>24</v>
      </c>
      <c r="I84" s="2">
        <v>1994358</v>
      </c>
      <c r="J84" s="2">
        <v>20.149999999999999</v>
      </c>
      <c r="K84" s="2">
        <v>2.2300000000000002E-3</v>
      </c>
      <c r="L84" s="2">
        <v>23.491</v>
      </c>
      <c r="M84" s="2">
        <v>4.4474</v>
      </c>
      <c r="N84" s="2">
        <v>473.34359999999998</v>
      </c>
      <c r="O84" s="2" t="s">
        <v>30</v>
      </c>
      <c r="P84" s="2" t="s">
        <v>455</v>
      </c>
      <c r="Q84" s="2" t="s">
        <v>309</v>
      </c>
    </row>
    <row r="85" spans="1:17" ht="24" x14ac:dyDescent="0.25">
      <c r="A85" s="3">
        <v>82</v>
      </c>
      <c r="B85" s="3">
        <v>2023</v>
      </c>
      <c r="C85" s="3" t="s">
        <v>366</v>
      </c>
      <c r="D85" s="3" t="s">
        <v>319</v>
      </c>
      <c r="E85" s="3" t="s">
        <v>109</v>
      </c>
      <c r="F85" s="3" t="s">
        <v>117</v>
      </c>
      <c r="G85" s="3" t="s">
        <v>456</v>
      </c>
      <c r="H85" s="3">
        <v>30</v>
      </c>
      <c r="I85" s="3">
        <v>572700</v>
      </c>
      <c r="J85" s="3">
        <v>49.46</v>
      </c>
      <c r="K85" s="3">
        <v>2.3999999999999998E-3</v>
      </c>
      <c r="L85" s="3">
        <v>12.955</v>
      </c>
      <c r="M85" s="3">
        <v>1.3745000000000001</v>
      </c>
      <c r="N85" s="3">
        <v>640.75429999999994</v>
      </c>
      <c r="O85" s="3" t="s">
        <v>30</v>
      </c>
      <c r="P85" s="3" t="s">
        <v>457</v>
      </c>
      <c r="Q85" s="3" t="s">
        <v>309</v>
      </c>
    </row>
    <row r="86" spans="1:17" ht="24" x14ac:dyDescent="0.25">
      <c r="A86" s="2">
        <v>83</v>
      </c>
      <c r="B86" s="2">
        <v>2023</v>
      </c>
      <c r="C86" s="2" t="s">
        <v>345</v>
      </c>
      <c r="D86" s="2" t="s">
        <v>324</v>
      </c>
      <c r="E86" s="2" t="s">
        <v>166</v>
      </c>
      <c r="F86" s="2" t="s">
        <v>154</v>
      </c>
      <c r="G86" s="2" t="s">
        <v>456</v>
      </c>
      <c r="H86" s="2">
        <v>10</v>
      </c>
      <c r="I86" s="2">
        <v>329176</v>
      </c>
      <c r="J86" s="2">
        <v>23.22</v>
      </c>
      <c r="K86" s="2">
        <v>1.4E-3</v>
      </c>
      <c r="L86" s="2">
        <v>5.6319999999999997</v>
      </c>
      <c r="M86" s="2">
        <v>0.46079999999999999</v>
      </c>
      <c r="N86" s="2">
        <v>130.77500000000001</v>
      </c>
      <c r="O86" s="2" t="s">
        <v>38</v>
      </c>
      <c r="P86" s="2" t="s">
        <v>458</v>
      </c>
      <c r="Q86" s="2" t="s">
        <v>304</v>
      </c>
    </row>
    <row r="87" spans="1:17" ht="36" x14ac:dyDescent="0.25">
      <c r="A87" s="3">
        <v>84</v>
      </c>
      <c r="B87" s="3">
        <v>2023</v>
      </c>
      <c r="C87" s="3" t="s">
        <v>310</v>
      </c>
      <c r="D87" s="3" t="s">
        <v>342</v>
      </c>
      <c r="E87" s="3" t="s">
        <v>138</v>
      </c>
      <c r="F87" s="3" t="s">
        <v>204</v>
      </c>
      <c r="G87" s="3" t="s">
        <v>459</v>
      </c>
      <c r="H87" s="3">
        <v>12</v>
      </c>
      <c r="I87" s="3">
        <v>1794600</v>
      </c>
      <c r="J87" s="3">
        <v>41.44</v>
      </c>
      <c r="K87" s="3">
        <v>2.3E-3</v>
      </c>
      <c r="L87" s="3">
        <v>3.2639999999999998</v>
      </c>
      <c r="M87" s="3">
        <v>4.1276000000000002</v>
      </c>
      <c r="N87" s="3">
        <v>135.2602</v>
      </c>
      <c r="O87" s="3" t="s">
        <v>30</v>
      </c>
      <c r="P87" s="3" t="s">
        <v>460</v>
      </c>
      <c r="Q87" s="3" t="s">
        <v>309</v>
      </c>
    </row>
    <row r="88" spans="1:17" ht="36" x14ac:dyDescent="0.25">
      <c r="A88" s="2">
        <v>85</v>
      </c>
      <c r="B88" s="2">
        <v>2023</v>
      </c>
      <c r="C88" s="2" t="s">
        <v>354</v>
      </c>
      <c r="D88" s="2" t="s">
        <v>359</v>
      </c>
      <c r="E88" s="2" t="s">
        <v>230</v>
      </c>
      <c r="F88" s="2" t="s">
        <v>117</v>
      </c>
      <c r="G88" s="2" t="s">
        <v>461</v>
      </c>
      <c r="H88" s="2">
        <v>16</v>
      </c>
      <c r="I88" s="2">
        <v>770231</v>
      </c>
      <c r="J88" s="2">
        <v>22.61</v>
      </c>
      <c r="K88" s="2">
        <v>1.4300000000000001E-3</v>
      </c>
      <c r="L88" s="2">
        <v>9.0449999999999999</v>
      </c>
      <c r="M88" s="2">
        <v>1.1013999999999999</v>
      </c>
      <c r="N88" s="2">
        <v>204.50749999999999</v>
      </c>
      <c r="O88" s="2" t="s">
        <v>38</v>
      </c>
      <c r="P88" s="2" t="s">
        <v>462</v>
      </c>
      <c r="Q88" s="2" t="s">
        <v>322</v>
      </c>
    </row>
    <row r="89" spans="1:17" ht="24" x14ac:dyDescent="0.25">
      <c r="A89" s="3">
        <v>86</v>
      </c>
      <c r="B89" s="3">
        <v>2023</v>
      </c>
      <c r="C89" s="3" t="s">
        <v>313</v>
      </c>
      <c r="D89" s="3" t="s">
        <v>324</v>
      </c>
      <c r="E89" s="3" t="s">
        <v>84</v>
      </c>
      <c r="F89" s="3" t="s">
        <v>154</v>
      </c>
      <c r="G89" s="3" t="s">
        <v>463</v>
      </c>
      <c r="H89" s="3">
        <v>16</v>
      </c>
      <c r="I89" s="3">
        <v>128938</v>
      </c>
      <c r="J89" s="3">
        <v>6.35</v>
      </c>
      <c r="K89" s="3">
        <v>1.57E-3</v>
      </c>
      <c r="L89" s="3">
        <v>10.849</v>
      </c>
      <c r="M89" s="3">
        <v>0.2024</v>
      </c>
      <c r="N89" s="3">
        <v>68.891099999999994</v>
      </c>
      <c r="O89" s="3" t="s">
        <v>38</v>
      </c>
      <c r="P89" s="3" t="s">
        <v>464</v>
      </c>
      <c r="Q89" s="3" t="s">
        <v>322</v>
      </c>
    </row>
    <row r="90" spans="1:17" ht="36" x14ac:dyDescent="0.25">
      <c r="A90" s="2">
        <v>87</v>
      </c>
      <c r="B90" s="2">
        <v>2023</v>
      </c>
      <c r="C90" s="2" t="s">
        <v>354</v>
      </c>
      <c r="D90" s="2" t="s">
        <v>314</v>
      </c>
      <c r="E90" s="2" t="s">
        <v>105</v>
      </c>
      <c r="F90" s="2" t="s">
        <v>96</v>
      </c>
      <c r="G90" s="2" t="s">
        <v>465</v>
      </c>
      <c r="H90" s="2">
        <v>20</v>
      </c>
      <c r="I90" s="2">
        <v>442162</v>
      </c>
      <c r="J90" s="2">
        <v>7.11</v>
      </c>
      <c r="K90" s="2">
        <v>1.0399999999999999E-3</v>
      </c>
      <c r="L90" s="2">
        <v>18.995999999999999</v>
      </c>
      <c r="M90" s="2">
        <v>0.45979999999999999</v>
      </c>
      <c r="N90" s="2">
        <v>135.0616</v>
      </c>
      <c r="O90" s="2" t="s">
        <v>38</v>
      </c>
      <c r="P90" s="2" t="s">
        <v>466</v>
      </c>
      <c r="Q90" s="2" t="s">
        <v>304</v>
      </c>
    </row>
    <row r="91" spans="1:17" ht="36" x14ac:dyDescent="0.25">
      <c r="A91" s="3">
        <v>88</v>
      </c>
      <c r="B91" s="3">
        <v>2023</v>
      </c>
      <c r="C91" s="3" t="s">
        <v>310</v>
      </c>
      <c r="D91" s="3" t="s">
        <v>319</v>
      </c>
      <c r="E91" s="3" t="s">
        <v>109</v>
      </c>
      <c r="F91" s="3" t="s">
        <v>139</v>
      </c>
      <c r="G91" s="3" t="s">
        <v>467</v>
      </c>
      <c r="H91" s="3">
        <v>16</v>
      </c>
      <c r="I91" s="3">
        <v>1652079</v>
      </c>
      <c r="J91" s="3">
        <v>38.21</v>
      </c>
      <c r="K91" s="3">
        <v>2.8800000000000002E-3</v>
      </c>
      <c r="L91" s="3">
        <v>15.38</v>
      </c>
      <c r="M91" s="3">
        <v>4.758</v>
      </c>
      <c r="N91" s="3">
        <v>587.66980000000001</v>
      </c>
      <c r="O91" s="3" t="s">
        <v>30</v>
      </c>
      <c r="P91" s="3" t="s">
        <v>468</v>
      </c>
      <c r="Q91" s="3" t="s">
        <v>304</v>
      </c>
    </row>
    <row r="92" spans="1:17" ht="24" x14ac:dyDescent="0.25">
      <c r="A92" s="2">
        <v>89</v>
      </c>
      <c r="B92" s="2">
        <v>2023</v>
      </c>
      <c r="C92" s="2" t="s">
        <v>313</v>
      </c>
      <c r="D92" s="2" t="s">
        <v>342</v>
      </c>
      <c r="E92" s="2" t="s">
        <v>183</v>
      </c>
      <c r="F92" s="2" t="s">
        <v>88</v>
      </c>
      <c r="G92" s="2" t="s">
        <v>469</v>
      </c>
      <c r="H92" s="2">
        <v>19</v>
      </c>
      <c r="I92" s="2">
        <v>228857</v>
      </c>
      <c r="J92" s="2">
        <v>41.52</v>
      </c>
      <c r="K92" s="2">
        <v>3.6600000000000001E-3</v>
      </c>
      <c r="L92" s="2">
        <v>6.0110000000000001</v>
      </c>
      <c r="M92" s="2">
        <v>0.83760000000000001</v>
      </c>
      <c r="N92" s="2">
        <v>249.57669999999999</v>
      </c>
      <c r="O92" s="2" t="s">
        <v>30</v>
      </c>
      <c r="P92" s="2" t="s">
        <v>470</v>
      </c>
      <c r="Q92" s="2" t="s">
        <v>304</v>
      </c>
    </row>
    <row r="93" spans="1:17" ht="24" x14ac:dyDescent="0.25">
      <c r="A93" s="3">
        <v>90</v>
      </c>
      <c r="B93" s="3">
        <v>2023</v>
      </c>
      <c r="C93" s="3" t="s">
        <v>335</v>
      </c>
      <c r="D93" s="3" t="s">
        <v>348</v>
      </c>
      <c r="E93" s="3" t="s">
        <v>138</v>
      </c>
      <c r="F93" s="3" t="s">
        <v>139</v>
      </c>
      <c r="G93" s="3" t="s">
        <v>272</v>
      </c>
      <c r="H93" s="3">
        <v>19</v>
      </c>
      <c r="I93" s="3">
        <v>414776</v>
      </c>
      <c r="J93" s="3">
        <v>29.37</v>
      </c>
      <c r="K93" s="3">
        <v>8.1999999999999998E-4</v>
      </c>
      <c r="L93" s="3">
        <v>13.347</v>
      </c>
      <c r="M93" s="3">
        <v>0.34010000000000001</v>
      </c>
      <c r="N93" s="3">
        <v>392.00139999999999</v>
      </c>
      <c r="O93" s="3" t="s">
        <v>38</v>
      </c>
      <c r="P93" s="3" t="s">
        <v>471</v>
      </c>
      <c r="Q93" s="3" t="s">
        <v>322</v>
      </c>
    </row>
    <row r="94" spans="1:17" ht="24" x14ac:dyDescent="0.25">
      <c r="A94" s="2">
        <v>91</v>
      </c>
      <c r="B94" s="2">
        <v>2023</v>
      </c>
      <c r="C94" s="2" t="s">
        <v>323</v>
      </c>
      <c r="D94" s="2" t="s">
        <v>328</v>
      </c>
      <c r="E94" s="2" t="s">
        <v>95</v>
      </c>
      <c r="F94" s="2" t="s">
        <v>58</v>
      </c>
      <c r="G94" s="2" t="s">
        <v>403</v>
      </c>
      <c r="H94" s="2">
        <v>6</v>
      </c>
      <c r="I94" s="2">
        <v>1119800</v>
      </c>
      <c r="J94" s="2">
        <v>33.799999999999997</v>
      </c>
      <c r="K94" s="2">
        <v>1.58E-3</v>
      </c>
      <c r="L94" s="2">
        <v>1.718</v>
      </c>
      <c r="M94" s="2">
        <v>1.7693000000000001</v>
      </c>
      <c r="N94" s="2">
        <v>58.068399999999997</v>
      </c>
      <c r="O94" s="2" t="s">
        <v>38</v>
      </c>
      <c r="P94" s="2" t="s">
        <v>472</v>
      </c>
      <c r="Q94" s="2" t="s">
        <v>309</v>
      </c>
    </row>
    <row r="95" spans="1:17" ht="36" x14ac:dyDescent="0.25">
      <c r="A95" s="3">
        <v>92</v>
      </c>
      <c r="B95" s="3">
        <v>2023</v>
      </c>
      <c r="C95" s="3" t="s">
        <v>305</v>
      </c>
      <c r="D95" s="3" t="s">
        <v>328</v>
      </c>
      <c r="E95" s="3" t="s">
        <v>159</v>
      </c>
      <c r="F95" s="3" t="s">
        <v>33</v>
      </c>
      <c r="G95" s="3" t="s">
        <v>473</v>
      </c>
      <c r="H95" s="3">
        <v>29</v>
      </c>
      <c r="I95" s="3">
        <v>1402268</v>
      </c>
      <c r="J95" s="3">
        <v>27.29</v>
      </c>
      <c r="K95" s="3">
        <v>7.1000000000000002E-4</v>
      </c>
      <c r="L95" s="3">
        <v>22.481999999999999</v>
      </c>
      <c r="M95" s="3">
        <v>0.99560000000000004</v>
      </c>
      <c r="N95" s="3">
        <v>613.53380000000004</v>
      </c>
      <c r="O95" s="3" t="s">
        <v>30</v>
      </c>
      <c r="P95" s="3" t="s">
        <v>474</v>
      </c>
      <c r="Q95" s="3" t="s">
        <v>304</v>
      </c>
    </row>
    <row r="96" spans="1:17" ht="24" x14ac:dyDescent="0.25">
      <c r="A96" s="2">
        <v>93</v>
      </c>
      <c r="B96" s="2">
        <v>2023</v>
      </c>
      <c r="C96" s="2" t="s">
        <v>300</v>
      </c>
      <c r="D96" s="2" t="s">
        <v>348</v>
      </c>
      <c r="E96" s="2" t="s">
        <v>47</v>
      </c>
      <c r="F96" s="2" t="s">
        <v>33</v>
      </c>
      <c r="G96" s="2" t="s">
        <v>475</v>
      </c>
      <c r="H96" s="2">
        <v>26</v>
      </c>
      <c r="I96" s="2">
        <v>1956775</v>
      </c>
      <c r="J96" s="2">
        <v>32.47</v>
      </c>
      <c r="K96" s="2">
        <v>1.97E-3</v>
      </c>
      <c r="L96" s="2">
        <v>24.83</v>
      </c>
      <c r="M96" s="2">
        <v>3.8548</v>
      </c>
      <c r="N96" s="2">
        <v>806.23009999999999</v>
      </c>
      <c r="O96" s="2" t="s">
        <v>38</v>
      </c>
      <c r="P96" s="2" t="s">
        <v>476</v>
      </c>
      <c r="Q96" s="2" t="s">
        <v>304</v>
      </c>
    </row>
    <row r="97" spans="1:17" ht="24" x14ac:dyDescent="0.25">
      <c r="A97" s="3">
        <v>94</v>
      </c>
      <c r="B97" s="3">
        <v>2023</v>
      </c>
      <c r="C97" s="3" t="s">
        <v>300</v>
      </c>
      <c r="D97" s="3" t="s">
        <v>319</v>
      </c>
      <c r="E97" s="3" t="s">
        <v>138</v>
      </c>
      <c r="F97" s="3" t="s">
        <v>96</v>
      </c>
      <c r="G97" s="3" t="s">
        <v>477</v>
      </c>
      <c r="H97" s="3">
        <v>5</v>
      </c>
      <c r="I97" s="3">
        <v>270315</v>
      </c>
      <c r="J97" s="3">
        <v>43.08</v>
      </c>
      <c r="K97" s="3">
        <v>9.2000000000000003E-4</v>
      </c>
      <c r="L97" s="3">
        <v>24.83</v>
      </c>
      <c r="M97" s="3">
        <v>0.2487</v>
      </c>
      <c r="N97" s="3">
        <v>1069.6764000000001</v>
      </c>
      <c r="O97" s="3" t="s">
        <v>30</v>
      </c>
      <c r="P97" s="3" t="s">
        <v>478</v>
      </c>
      <c r="Q97" s="3" t="s">
        <v>309</v>
      </c>
    </row>
    <row r="98" spans="1:17" ht="36" x14ac:dyDescent="0.25">
      <c r="A98" s="2">
        <v>95</v>
      </c>
      <c r="B98" s="2">
        <v>2023</v>
      </c>
      <c r="C98" s="2" t="s">
        <v>331</v>
      </c>
      <c r="D98" s="2" t="s">
        <v>316</v>
      </c>
      <c r="E98" s="2" t="s">
        <v>109</v>
      </c>
      <c r="F98" s="2" t="s">
        <v>88</v>
      </c>
      <c r="G98" s="2" t="s">
        <v>479</v>
      </c>
      <c r="H98" s="2">
        <v>13</v>
      </c>
      <c r="I98" s="2">
        <v>928693</v>
      </c>
      <c r="J98" s="2">
        <v>36.1</v>
      </c>
      <c r="K98" s="2">
        <v>1.98E-3</v>
      </c>
      <c r="L98" s="2">
        <v>10.227</v>
      </c>
      <c r="M98" s="2">
        <v>1.8388</v>
      </c>
      <c r="N98" s="2">
        <v>369.19470000000001</v>
      </c>
      <c r="O98" s="2" t="s">
        <v>30</v>
      </c>
      <c r="P98" s="2" t="s">
        <v>480</v>
      </c>
      <c r="Q98" s="2" t="s">
        <v>304</v>
      </c>
    </row>
    <row r="99" spans="1:17" ht="24" x14ac:dyDescent="0.25">
      <c r="A99" s="3">
        <v>96</v>
      </c>
      <c r="B99" s="3">
        <v>2023</v>
      </c>
      <c r="C99" s="3" t="s">
        <v>335</v>
      </c>
      <c r="D99" s="3" t="s">
        <v>316</v>
      </c>
      <c r="E99" s="3" t="s">
        <v>95</v>
      </c>
      <c r="F99" s="3" t="s">
        <v>24</v>
      </c>
      <c r="G99" s="3" t="s">
        <v>448</v>
      </c>
      <c r="H99" s="3">
        <v>24</v>
      </c>
      <c r="I99" s="3">
        <v>1532152</v>
      </c>
      <c r="J99" s="3">
        <v>2.09</v>
      </c>
      <c r="K99" s="3">
        <v>2.81E-3</v>
      </c>
      <c r="L99" s="3">
        <v>15.835000000000001</v>
      </c>
      <c r="M99" s="3">
        <v>4.3052999999999999</v>
      </c>
      <c r="N99" s="3">
        <v>33.095100000000002</v>
      </c>
      <c r="O99" s="3" t="s">
        <v>30</v>
      </c>
      <c r="P99" s="3" t="s">
        <v>481</v>
      </c>
      <c r="Q99" s="3" t="s">
        <v>309</v>
      </c>
    </row>
    <row r="100" spans="1:17" ht="24" x14ac:dyDescent="0.25">
      <c r="A100" s="2">
        <v>97</v>
      </c>
      <c r="B100" s="2">
        <v>2023</v>
      </c>
      <c r="C100" s="2" t="s">
        <v>300</v>
      </c>
      <c r="D100" s="2" t="s">
        <v>348</v>
      </c>
      <c r="E100" s="2" t="s">
        <v>53</v>
      </c>
      <c r="F100" s="2" t="s">
        <v>139</v>
      </c>
      <c r="G100" s="2" t="s">
        <v>482</v>
      </c>
      <c r="H100" s="2">
        <v>29</v>
      </c>
      <c r="I100" s="2">
        <v>1197581</v>
      </c>
      <c r="J100" s="2">
        <v>35.31</v>
      </c>
      <c r="K100" s="2">
        <v>6.7000000000000002E-4</v>
      </c>
      <c r="L100" s="2">
        <v>18.824999999999999</v>
      </c>
      <c r="M100" s="2">
        <v>0.8024</v>
      </c>
      <c r="N100" s="2">
        <v>664.71069999999997</v>
      </c>
      <c r="O100" s="2" t="s">
        <v>30</v>
      </c>
      <c r="P100" s="2" t="s">
        <v>483</v>
      </c>
      <c r="Q100" s="2" t="s">
        <v>322</v>
      </c>
    </row>
    <row r="101" spans="1:17" ht="24" x14ac:dyDescent="0.25">
      <c r="A101" s="3">
        <v>98</v>
      </c>
      <c r="B101" s="3">
        <v>2023</v>
      </c>
      <c r="C101" s="3" t="s">
        <v>345</v>
      </c>
      <c r="D101" s="3" t="s">
        <v>359</v>
      </c>
      <c r="E101" s="3" t="s">
        <v>87</v>
      </c>
      <c r="F101" s="3" t="s">
        <v>92</v>
      </c>
      <c r="G101" s="3" t="s">
        <v>108</v>
      </c>
      <c r="H101" s="3">
        <v>15</v>
      </c>
      <c r="I101" s="3">
        <v>1010272</v>
      </c>
      <c r="J101" s="3">
        <v>14.82</v>
      </c>
      <c r="K101" s="3">
        <v>3.3600000000000001E-3</v>
      </c>
      <c r="L101" s="3">
        <v>18.61</v>
      </c>
      <c r="M101" s="3">
        <v>3.3944999999999999</v>
      </c>
      <c r="N101" s="3">
        <v>275.80020000000002</v>
      </c>
      <c r="O101" s="3" t="s">
        <v>30</v>
      </c>
      <c r="P101" s="3" t="s">
        <v>484</v>
      </c>
      <c r="Q101" s="3" t="s">
        <v>309</v>
      </c>
    </row>
    <row r="102" spans="1:17" ht="24" x14ac:dyDescent="0.25">
      <c r="A102" s="2">
        <v>99</v>
      </c>
      <c r="B102" s="2">
        <v>2023</v>
      </c>
      <c r="C102" s="2" t="s">
        <v>323</v>
      </c>
      <c r="D102" s="2" t="s">
        <v>328</v>
      </c>
      <c r="E102" s="2" t="s">
        <v>23</v>
      </c>
      <c r="F102" s="2" t="s">
        <v>58</v>
      </c>
      <c r="G102" s="2" t="s">
        <v>452</v>
      </c>
      <c r="H102" s="2">
        <v>25</v>
      </c>
      <c r="I102" s="2">
        <v>1753135</v>
      </c>
      <c r="J102" s="2">
        <v>49.29</v>
      </c>
      <c r="K102" s="2">
        <v>2.32E-3</v>
      </c>
      <c r="L102" s="2">
        <v>11.042999999999999</v>
      </c>
      <c r="M102" s="2">
        <v>4.0673000000000004</v>
      </c>
      <c r="N102" s="2">
        <v>544.30949999999996</v>
      </c>
      <c r="O102" s="2" t="s">
        <v>38</v>
      </c>
      <c r="P102" s="2" t="s">
        <v>485</v>
      </c>
      <c r="Q102" s="2" t="s">
        <v>309</v>
      </c>
    </row>
    <row r="103" spans="1:17" ht="24" x14ac:dyDescent="0.25">
      <c r="A103" s="3">
        <v>100</v>
      </c>
      <c r="B103" s="3">
        <v>2023</v>
      </c>
      <c r="C103" s="3" t="s">
        <v>300</v>
      </c>
      <c r="D103" s="3" t="s">
        <v>319</v>
      </c>
      <c r="E103" s="3" t="s">
        <v>40</v>
      </c>
      <c r="F103" s="3" t="s">
        <v>96</v>
      </c>
      <c r="G103" s="3" t="s">
        <v>486</v>
      </c>
      <c r="H103" s="3">
        <v>18</v>
      </c>
      <c r="I103" s="3">
        <v>1113922</v>
      </c>
      <c r="J103" s="3">
        <v>2.82</v>
      </c>
      <c r="K103" s="3">
        <v>1.7099999999999999E-3</v>
      </c>
      <c r="L103" s="3">
        <v>16.510999999999999</v>
      </c>
      <c r="M103" s="3">
        <v>1.9048</v>
      </c>
      <c r="N103" s="3">
        <v>46.561</v>
      </c>
      <c r="O103" s="3" t="s">
        <v>30</v>
      </c>
      <c r="P103" s="3" t="s">
        <v>487</v>
      </c>
      <c r="Q103" s="3" t="s">
        <v>309</v>
      </c>
    </row>
  </sheetData>
  <autoFilter ref="A3:Q3" xr:uid="{00000000-0009-0000-0000-000001000000}"/>
  <mergeCells count="2">
    <mergeCell ref="A1:P1"/>
    <mergeCell ref="A2:P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Q103"/>
  <sheetViews>
    <sheetView showGridLines="0" topLeftCell="I1"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17" width="18" customWidth="1"/>
  </cols>
  <sheetData>
    <row r="1" spans="1:17" ht="28.15" customHeight="1" x14ac:dyDescent="0.25">
      <c r="A1" s="27" t="s">
        <v>488</v>
      </c>
      <c r="B1" s="28"/>
      <c r="C1" s="28"/>
      <c r="D1" s="28"/>
      <c r="E1" s="28"/>
      <c r="F1" s="28"/>
      <c r="G1" s="28"/>
      <c r="H1" s="28"/>
      <c r="I1" s="28"/>
      <c r="J1" s="28"/>
      <c r="K1" s="28"/>
      <c r="L1" s="28"/>
      <c r="M1" s="28"/>
      <c r="N1" s="28"/>
      <c r="O1" s="28"/>
      <c r="P1" s="28"/>
    </row>
    <row r="2" spans="1:17" ht="18" customHeight="1" x14ac:dyDescent="0.25">
      <c r="A2" s="29" t="s">
        <v>1</v>
      </c>
      <c r="B2" s="28"/>
      <c r="C2" s="28"/>
      <c r="D2" s="28"/>
      <c r="E2" s="28"/>
      <c r="F2" s="28"/>
      <c r="G2" s="28"/>
      <c r="H2" s="28"/>
      <c r="I2" s="28"/>
      <c r="J2" s="28"/>
      <c r="K2" s="28"/>
      <c r="L2" s="28"/>
      <c r="M2" s="28"/>
      <c r="N2" s="28"/>
      <c r="O2" s="28"/>
      <c r="P2" s="28"/>
    </row>
    <row r="3" spans="1:17" ht="51" x14ac:dyDescent="0.25">
      <c r="A3" s="1" t="s">
        <v>2</v>
      </c>
      <c r="B3" s="1" t="s">
        <v>3</v>
      </c>
      <c r="C3" s="1" t="s">
        <v>4</v>
      </c>
      <c r="D3" s="1" t="s">
        <v>489</v>
      </c>
      <c r="E3" s="1" t="s">
        <v>490</v>
      </c>
      <c r="F3" s="1" t="s">
        <v>491</v>
      </c>
      <c r="G3" s="1" t="s">
        <v>492</v>
      </c>
      <c r="H3" s="1" t="s">
        <v>493</v>
      </c>
      <c r="I3" s="1" t="s">
        <v>12</v>
      </c>
      <c r="J3" s="1" t="s">
        <v>494</v>
      </c>
      <c r="K3" s="1" t="s">
        <v>495</v>
      </c>
      <c r="L3" s="1" t="s">
        <v>496</v>
      </c>
      <c r="M3" s="1" t="s">
        <v>497</v>
      </c>
      <c r="N3" s="1" t="s">
        <v>498</v>
      </c>
      <c r="O3" s="1" t="s">
        <v>499</v>
      </c>
      <c r="P3" s="1" t="s">
        <v>500</v>
      </c>
      <c r="Q3" s="1" t="s">
        <v>299</v>
      </c>
    </row>
    <row r="4" spans="1:17" x14ac:dyDescent="0.25">
      <c r="A4" s="2">
        <v>1</v>
      </c>
      <c r="B4" s="2">
        <v>2023</v>
      </c>
      <c r="C4" s="2" t="s">
        <v>22</v>
      </c>
      <c r="D4" s="2" t="s">
        <v>501</v>
      </c>
      <c r="E4" s="2" t="s">
        <v>54</v>
      </c>
      <c r="F4" s="2" t="s">
        <v>502</v>
      </c>
      <c r="G4" s="2" t="s">
        <v>503</v>
      </c>
      <c r="H4" s="2">
        <v>18469.5</v>
      </c>
      <c r="I4" s="2" t="s">
        <v>504</v>
      </c>
      <c r="J4" s="2">
        <v>0.28070000000000001</v>
      </c>
      <c r="K4" s="2">
        <v>0</v>
      </c>
      <c r="L4" s="2">
        <v>0</v>
      </c>
      <c r="M4" s="2">
        <v>5.1844000000000001</v>
      </c>
      <c r="N4" s="2">
        <v>0</v>
      </c>
      <c r="O4" s="2">
        <v>5.1844000000000001</v>
      </c>
      <c r="P4" s="2" t="s">
        <v>505</v>
      </c>
      <c r="Q4" s="2" t="s">
        <v>506</v>
      </c>
    </row>
    <row r="5" spans="1:17" x14ac:dyDescent="0.25">
      <c r="A5" s="3">
        <v>2</v>
      </c>
      <c r="B5" s="3">
        <v>2023</v>
      </c>
      <c r="C5" s="3" t="s">
        <v>32</v>
      </c>
      <c r="D5" s="3" t="s">
        <v>507</v>
      </c>
      <c r="E5" s="3" t="s">
        <v>70</v>
      </c>
      <c r="F5" s="3" t="s">
        <v>508</v>
      </c>
      <c r="G5" s="3" t="s">
        <v>509</v>
      </c>
      <c r="H5" s="3">
        <v>85768.4</v>
      </c>
      <c r="I5" s="3" t="s">
        <v>510</v>
      </c>
      <c r="J5" s="3">
        <v>0.19170000000000001</v>
      </c>
      <c r="K5" s="3">
        <v>0</v>
      </c>
      <c r="L5" s="3">
        <v>0</v>
      </c>
      <c r="M5" s="3">
        <v>16.441800000000001</v>
      </c>
      <c r="N5" s="3">
        <v>0</v>
      </c>
      <c r="O5" s="3">
        <v>16.441800000000001</v>
      </c>
      <c r="P5" s="3" t="s">
        <v>505</v>
      </c>
      <c r="Q5" s="3" t="s">
        <v>506</v>
      </c>
    </row>
    <row r="6" spans="1:17" x14ac:dyDescent="0.25">
      <c r="A6" s="2">
        <v>3</v>
      </c>
      <c r="B6" s="2">
        <v>2023</v>
      </c>
      <c r="C6" s="2" t="s">
        <v>39</v>
      </c>
      <c r="D6" s="2" t="s">
        <v>511</v>
      </c>
      <c r="E6" s="2" t="s">
        <v>33</v>
      </c>
      <c r="F6" s="2" t="s">
        <v>502</v>
      </c>
      <c r="G6" s="2" t="s">
        <v>503</v>
      </c>
      <c r="H6" s="2">
        <v>96781.8</v>
      </c>
      <c r="I6" s="2" t="s">
        <v>504</v>
      </c>
      <c r="J6" s="2">
        <v>0.28360000000000002</v>
      </c>
      <c r="K6" s="2">
        <v>0</v>
      </c>
      <c r="L6" s="2">
        <v>0</v>
      </c>
      <c r="M6" s="2">
        <v>27.447299999999998</v>
      </c>
      <c r="N6" s="2">
        <v>0</v>
      </c>
      <c r="O6" s="2">
        <v>27.447299999999998</v>
      </c>
      <c r="P6" s="2" t="s">
        <v>505</v>
      </c>
      <c r="Q6" s="2" t="s">
        <v>506</v>
      </c>
    </row>
    <row r="7" spans="1:17" x14ac:dyDescent="0.25">
      <c r="A7" s="3">
        <v>4</v>
      </c>
      <c r="B7" s="3">
        <v>2023</v>
      </c>
      <c r="C7" s="3" t="s">
        <v>46</v>
      </c>
      <c r="D7" s="3" t="s">
        <v>507</v>
      </c>
      <c r="E7" s="3" t="s">
        <v>54</v>
      </c>
      <c r="F7" s="3" t="s">
        <v>508</v>
      </c>
      <c r="G7" s="3" t="s">
        <v>509</v>
      </c>
      <c r="H7" s="3">
        <v>20413.3</v>
      </c>
      <c r="I7" s="3" t="s">
        <v>510</v>
      </c>
      <c r="J7" s="3">
        <v>0.26700000000000002</v>
      </c>
      <c r="K7" s="3">
        <v>0</v>
      </c>
      <c r="L7" s="3">
        <v>0</v>
      </c>
      <c r="M7" s="3">
        <v>5.4504000000000001</v>
      </c>
      <c r="N7" s="3">
        <v>0</v>
      </c>
      <c r="O7" s="3">
        <v>5.4504000000000001</v>
      </c>
      <c r="P7" s="3" t="s">
        <v>505</v>
      </c>
      <c r="Q7" s="3" t="s">
        <v>512</v>
      </c>
    </row>
    <row r="8" spans="1:17" x14ac:dyDescent="0.25">
      <c r="A8" s="2">
        <v>5</v>
      </c>
      <c r="B8" s="2">
        <v>2023</v>
      </c>
      <c r="C8" s="2" t="s">
        <v>22</v>
      </c>
      <c r="D8" s="2" t="s">
        <v>513</v>
      </c>
      <c r="E8" s="2" t="s">
        <v>117</v>
      </c>
      <c r="F8" s="2" t="s">
        <v>514</v>
      </c>
      <c r="G8" s="2" t="s">
        <v>509</v>
      </c>
      <c r="H8" s="2">
        <v>53610</v>
      </c>
      <c r="I8" s="2" t="s">
        <v>510</v>
      </c>
      <c r="J8" s="2">
        <v>0.45440000000000003</v>
      </c>
      <c r="K8" s="2">
        <v>0</v>
      </c>
      <c r="L8" s="2">
        <v>0</v>
      </c>
      <c r="M8" s="2">
        <v>24.360399999999998</v>
      </c>
      <c r="N8" s="2">
        <v>0</v>
      </c>
      <c r="O8" s="2">
        <v>24.360399999999998</v>
      </c>
      <c r="P8" s="2" t="s">
        <v>505</v>
      </c>
      <c r="Q8" s="2" t="s">
        <v>512</v>
      </c>
    </row>
    <row r="9" spans="1:17" x14ac:dyDescent="0.25">
      <c r="A9" s="3">
        <v>6</v>
      </c>
      <c r="B9" s="3">
        <v>2023</v>
      </c>
      <c r="C9" s="3" t="s">
        <v>32</v>
      </c>
      <c r="D9" s="3" t="s">
        <v>501</v>
      </c>
      <c r="E9" s="3" t="s">
        <v>204</v>
      </c>
      <c r="F9" s="3" t="s">
        <v>515</v>
      </c>
      <c r="G9" s="3" t="s">
        <v>516</v>
      </c>
      <c r="H9" s="3">
        <v>87374.7</v>
      </c>
      <c r="I9" s="3" t="s">
        <v>504</v>
      </c>
      <c r="J9" s="3">
        <v>0.3982</v>
      </c>
      <c r="K9" s="3">
        <v>6.57</v>
      </c>
      <c r="L9" s="3">
        <v>0.71220000000000006</v>
      </c>
      <c r="M9" s="3">
        <v>34.7926</v>
      </c>
      <c r="N9" s="3">
        <v>4.0884</v>
      </c>
      <c r="O9" s="3">
        <v>38.881</v>
      </c>
      <c r="P9" s="3" t="s">
        <v>505</v>
      </c>
      <c r="Q9" s="3" t="s">
        <v>506</v>
      </c>
    </row>
    <row r="10" spans="1:17" x14ac:dyDescent="0.25">
      <c r="A10" s="2">
        <v>7</v>
      </c>
      <c r="B10" s="2">
        <v>2023</v>
      </c>
      <c r="C10" s="2" t="s">
        <v>39</v>
      </c>
      <c r="D10" s="2" t="s">
        <v>501</v>
      </c>
      <c r="E10" s="2" t="s">
        <v>70</v>
      </c>
      <c r="F10" s="2" t="s">
        <v>517</v>
      </c>
      <c r="G10" s="2" t="s">
        <v>509</v>
      </c>
      <c r="H10" s="2">
        <v>30388.5</v>
      </c>
      <c r="I10" s="2" t="s">
        <v>510</v>
      </c>
      <c r="J10" s="2">
        <v>0.61629999999999996</v>
      </c>
      <c r="K10" s="2">
        <v>0</v>
      </c>
      <c r="L10" s="2">
        <v>0</v>
      </c>
      <c r="M10" s="2">
        <v>18.728400000000001</v>
      </c>
      <c r="N10" s="2">
        <v>0</v>
      </c>
      <c r="O10" s="2">
        <v>18.728400000000001</v>
      </c>
      <c r="P10" s="2" t="s">
        <v>505</v>
      </c>
      <c r="Q10" s="2" t="s">
        <v>506</v>
      </c>
    </row>
    <row r="11" spans="1:17" x14ac:dyDescent="0.25">
      <c r="A11" s="3">
        <v>8</v>
      </c>
      <c r="B11" s="3">
        <v>2023</v>
      </c>
      <c r="C11" s="3" t="s">
        <v>46</v>
      </c>
      <c r="D11" s="3" t="s">
        <v>501</v>
      </c>
      <c r="E11" s="3" t="s">
        <v>96</v>
      </c>
      <c r="F11" s="3" t="s">
        <v>514</v>
      </c>
      <c r="G11" s="3" t="s">
        <v>509</v>
      </c>
      <c r="H11" s="3">
        <v>74713.2</v>
      </c>
      <c r="I11" s="3" t="s">
        <v>510</v>
      </c>
      <c r="J11" s="3">
        <v>0.44309999999999999</v>
      </c>
      <c r="K11" s="3">
        <v>0</v>
      </c>
      <c r="L11" s="3">
        <v>0</v>
      </c>
      <c r="M11" s="3">
        <v>33.105400000000003</v>
      </c>
      <c r="N11" s="3">
        <v>0</v>
      </c>
      <c r="O11" s="3">
        <v>33.105400000000003</v>
      </c>
      <c r="P11" s="3" t="s">
        <v>505</v>
      </c>
      <c r="Q11" s="3" t="s">
        <v>518</v>
      </c>
    </row>
    <row r="12" spans="1:17" x14ac:dyDescent="0.25">
      <c r="A12" s="2">
        <v>9</v>
      </c>
      <c r="B12" s="2">
        <v>2023</v>
      </c>
      <c r="C12" s="2" t="s">
        <v>22</v>
      </c>
      <c r="D12" s="2" t="s">
        <v>519</v>
      </c>
      <c r="E12" s="2" t="s">
        <v>92</v>
      </c>
      <c r="F12" s="2" t="s">
        <v>520</v>
      </c>
      <c r="G12" s="2" t="s">
        <v>509</v>
      </c>
      <c r="H12" s="2">
        <v>39723.5</v>
      </c>
      <c r="I12" s="2" t="s">
        <v>510</v>
      </c>
      <c r="J12" s="2">
        <v>0.38590000000000002</v>
      </c>
      <c r="K12" s="2">
        <v>0</v>
      </c>
      <c r="L12" s="2">
        <v>0</v>
      </c>
      <c r="M12" s="2">
        <v>15.3293</v>
      </c>
      <c r="N12" s="2">
        <v>0</v>
      </c>
      <c r="O12" s="2">
        <v>15.3293</v>
      </c>
      <c r="P12" s="2" t="s">
        <v>505</v>
      </c>
      <c r="Q12" s="2" t="s">
        <v>512</v>
      </c>
    </row>
    <row r="13" spans="1:17" x14ac:dyDescent="0.25">
      <c r="A13" s="3">
        <v>10</v>
      </c>
      <c r="B13" s="3">
        <v>2023</v>
      </c>
      <c r="C13" s="3" t="s">
        <v>32</v>
      </c>
      <c r="D13" s="3" t="s">
        <v>521</v>
      </c>
      <c r="E13" s="3" t="s">
        <v>117</v>
      </c>
      <c r="F13" s="3" t="s">
        <v>502</v>
      </c>
      <c r="G13" s="3" t="s">
        <v>503</v>
      </c>
      <c r="H13" s="3">
        <v>46678.400000000001</v>
      </c>
      <c r="I13" s="3" t="s">
        <v>504</v>
      </c>
      <c r="J13" s="3">
        <v>0.29730000000000001</v>
      </c>
      <c r="K13" s="3">
        <v>0</v>
      </c>
      <c r="L13" s="3">
        <v>0</v>
      </c>
      <c r="M13" s="3">
        <v>13.8775</v>
      </c>
      <c r="N13" s="3">
        <v>0</v>
      </c>
      <c r="O13" s="3">
        <v>13.8775</v>
      </c>
      <c r="P13" s="3" t="s">
        <v>505</v>
      </c>
      <c r="Q13" s="3" t="s">
        <v>512</v>
      </c>
    </row>
    <row r="14" spans="1:17" x14ac:dyDescent="0.25">
      <c r="A14" s="2">
        <v>11</v>
      </c>
      <c r="B14" s="2">
        <v>2023</v>
      </c>
      <c r="C14" s="2" t="s">
        <v>39</v>
      </c>
      <c r="D14" s="2" t="s">
        <v>507</v>
      </c>
      <c r="E14" s="2" t="s">
        <v>92</v>
      </c>
      <c r="F14" s="2" t="s">
        <v>522</v>
      </c>
      <c r="G14" s="2" t="s">
        <v>523</v>
      </c>
      <c r="H14" s="2">
        <v>46653.8</v>
      </c>
      <c r="I14" s="2" t="s">
        <v>510</v>
      </c>
      <c r="J14" s="2">
        <v>0.1004</v>
      </c>
      <c r="K14" s="2">
        <v>0</v>
      </c>
      <c r="L14" s="2">
        <v>0</v>
      </c>
      <c r="M14" s="2">
        <v>4.6840000000000002</v>
      </c>
      <c r="N14" s="2">
        <v>0</v>
      </c>
      <c r="O14" s="2">
        <v>4.6840000000000002</v>
      </c>
      <c r="P14" s="2" t="s">
        <v>505</v>
      </c>
      <c r="Q14" s="2" t="s">
        <v>512</v>
      </c>
    </row>
    <row r="15" spans="1:17" x14ac:dyDescent="0.25">
      <c r="A15" s="3">
        <v>12</v>
      </c>
      <c r="B15" s="3">
        <v>2023</v>
      </c>
      <c r="C15" s="3" t="s">
        <v>46</v>
      </c>
      <c r="D15" s="3" t="s">
        <v>501</v>
      </c>
      <c r="E15" s="3" t="s">
        <v>96</v>
      </c>
      <c r="F15" s="3" t="s">
        <v>520</v>
      </c>
      <c r="G15" s="3" t="s">
        <v>509</v>
      </c>
      <c r="H15" s="3">
        <v>37133.4</v>
      </c>
      <c r="I15" s="3" t="s">
        <v>510</v>
      </c>
      <c r="J15" s="3">
        <v>0.41210000000000002</v>
      </c>
      <c r="K15" s="3">
        <v>0</v>
      </c>
      <c r="L15" s="3">
        <v>0</v>
      </c>
      <c r="M15" s="3">
        <v>15.3027</v>
      </c>
      <c r="N15" s="3">
        <v>0</v>
      </c>
      <c r="O15" s="3">
        <v>15.3027</v>
      </c>
      <c r="P15" s="3" t="s">
        <v>505</v>
      </c>
      <c r="Q15" s="3" t="s">
        <v>506</v>
      </c>
    </row>
    <row r="16" spans="1:17" x14ac:dyDescent="0.25">
      <c r="A16" s="2">
        <v>13</v>
      </c>
      <c r="B16" s="2">
        <v>2023</v>
      </c>
      <c r="C16" s="2" t="s">
        <v>22</v>
      </c>
      <c r="D16" s="2" t="s">
        <v>511</v>
      </c>
      <c r="E16" s="2" t="s">
        <v>65</v>
      </c>
      <c r="F16" s="2" t="s">
        <v>515</v>
      </c>
      <c r="G16" s="2" t="s">
        <v>516</v>
      </c>
      <c r="H16" s="2">
        <v>26151.3</v>
      </c>
      <c r="I16" s="2" t="s">
        <v>504</v>
      </c>
      <c r="J16" s="2">
        <v>0.51019999999999999</v>
      </c>
      <c r="K16" s="2">
        <v>5.47</v>
      </c>
      <c r="L16" s="2">
        <v>0.55879999999999996</v>
      </c>
      <c r="M16" s="2">
        <v>13.3424</v>
      </c>
      <c r="N16" s="2">
        <v>0.7994</v>
      </c>
      <c r="O16" s="2">
        <v>14.1418</v>
      </c>
      <c r="P16" s="2" t="s">
        <v>505</v>
      </c>
      <c r="Q16" s="2" t="s">
        <v>512</v>
      </c>
    </row>
    <row r="17" spans="1:17" x14ac:dyDescent="0.25">
      <c r="A17" s="3">
        <v>14</v>
      </c>
      <c r="B17" s="3">
        <v>2023</v>
      </c>
      <c r="C17" s="3" t="s">
        <v>32</v>
      </c>
      <c r="D17" s="3" t="s">
        <v>507</v>
      </c>
      <c r="E17" s="3" t="s">
        <v>139</v>
      </c>
      <c r="F17" s="3" t="s">
        <v>520</v>
      </c>
      <c r="G17" s="3" t="s">
        <v>509</v>
      </c>
      <c r="H17" s="3">
        <v>38046</v>
      </c>
      <c r="I17" s="3" t="s">
        <v>510</v>
      </c>
      <c r="J17" s="3">
        <v>0.47499999999999998</v>
      </c>
      <c r="K17" s="3">
        <v>0</v>
      </c>
      <c r="L17" s="3">
        <v>0</v>
      </c>
      <c r="M17" s="3">
        <v>18.0718</v>
      </c>
      <c r="N17" s="3">
        <v>0</v>
      </c>
      <c r="O17" s="3">
        <v>18.0718</v>
      </c>
      <c r="P17" s="3" t="s">
        <v>505</v>
      </c>
      <c r="Q17" s="3" t="s">
        <v>518</v>
      </c>
    </row>
    <row r="18" spans="1:17" x14ac:dyDescent="0.25">
      <c r="A18" s="2">
        <v>15</v>
      </c>
      <c r="B18" s="2">
        <v>2023</v>
      </c>
      <c r="C18" s="2" t="s">
        <v>39</v>
      </c>
      <c r="D18" s="2" t="s">
        <v>507</v>
      </c>
      <c r="E18" s="2" t="s">
        <v>204</v>
      </c>
      <c r="F18" s="2" t="s">
        <v>517</v>
      </c>
      <c r="G18" s="2" t="s">
        <v>509</v>
      </c>
      <c r="H18" s="2">
        <v>25806.9</v>
      </c>
      <c r="I18" s="2" t="s">
        <v>510</v>
      </c>
      <c r="J18" s="2">
        <v>0.60319999999999996</v>
      </c>
      <c r="K18" s="2">
        <v>0</v>
      </c>
      <c r="L18" s="2">
        <v>0</v>
      </c>
      <c r="M18" s="2">
        <v>15.566700000000001</v>
      </c>
      <c r="N18" s="2">
        <v>0</v>
      </c>
      <c r="O18" s="2">
        <v>15.566700000000001</v>
      </c>
      <c r="P18" s="2" t="s">
        <v>505</v>
      </c>
      <c r="Q18" s="2" t="s">
        <v>506</v>
      </c>
    </row>
    <row r="19" spans="1:17" x14ac:dyDescent="0.25">
      <c r="A19" s="3">
        <v>16</v>
      </c>
      <c r="B19" s="3">
        <v>2023</v>
      </c>
      <c r="C19" s="3" t="s">
        <v>46</v>
      </c>
      <c r="D19" s="3" t="s">
        <v>507</v>
      </c>
      <c r="E19" s="3" t="s">
        <v>110</v>
      </c>
      <c r="F19" s="3" t="s">
        <v>517</v>
      </c>
      <c r="G19" s="3" t="s">
        <v>509</v>
      </c>
      <c r="H19" s="3">
        <v>17009.599999999999</v>
      </c>
      <c r="I19" s="3" t="s">
        <v>510</v>
      </c>
      <c r="J19" s="3">
        <v>0.58799999999999997</v>
      </c>
      <c r="K19" s="3">
        <v>0</v>
      </c>
      <c r="L19" s="3">
        <v>0</v>
      </c>
      <c r="M19" s="3">
        <v>10.0016</v>
      </c>
      <c r="N19" s="3">
        <v>0</v>
      </c>
      <c r="O19" s="3">
        <v>10.0016</v>
      </c>
      <c r="P19" s="3" t="s">
        <v>505</v>
      </c>
      <c r="Q19" s="3" t="s">
        <v>518</v>
      </c>
    </row>
    <row r="20" spans="1:17" x14ac:dyDescent="0.25">
      <c r="A20" s="2">
        <v>17</v>
      </c>
      <c r="B20" s="2">
        <v>2023</v>
      </c>
      <c r="C20" s="2" t="s">
        <v>22</v>
      </c>
      <c r="D20" s="2" t="s">
        <v>513</v>
      </c>
      <c r="E20" s="2" t="s">
        <v>92</v>
      </c>
      <c r="F20" s="2" t="s">
        <v>515</v>
      </c>
      <c r="G20" s="2" t="s">
        <v>516</v>
      </c>
      <c r="H20" s="2">
        <v>52442</v>
      </c>
      <c r="I20" s="2" t="s">
        <v>504</v>
      </c>
      <c r="J20" s="2">
        <v>0.49590000000000001</v>
      </c>
      <c r="K20" s="2">
        <v>2.4500000000000002</v>
      </c>
      <c r="L20" s="2">
        <v>0.75900000000000001</v>
      </c>
      <c r="M20" s="2">
        <v>26.006</v>
      </c>
      <c r="N20" s="2">
        <v>0.97519999999999996</v>
      </c>
      <c r="O20" s="2">
        <v>26.981200000000001</v>
      </c>
      <c r="P20" s="2" t="s">
        <v>505</v>
      </c>
      <c r="Q20" s="2" t="s">
        <v>506</v>
      </c>
    </row>
    <row r="21" spans="1:17" x14ac:dyDescent="0.25">
      <c r="A21" s="3">
        <v>18</v>
      </c>
      <c r="B21" s="3">
        <v>2023</v>
      </c>
      <c r="C21" s="3" t="s">
        <v>32</v>
      </c>
      <c r="D21" s="3" t="s">
        <v>524</v>
      </c>
      <c r="E21" s="3" t="s">
        <v>96</v>
      </c>
      <c r="F21" s="3" t="s">
        <v>502</v>
      </c>
      <c r="G21" s="3" t="s">
        <v>503</v>
      </c>
      <c r="H21" s="3">
        <v>13835.4</v>
      </c>
      <c r="I21" s="3" t="s">
        <v>504</v>
      </c>
      <c r="J21" s="3">
        <v>0.29459999999999997</v>
      </c>
      <c r="K21" s="3">
        <v>0</v>
      </c>
      <c r="L21" s="3">
        <v>0</v>
      </c>
      <c r="M21" s="3">
        <v>4.0758999999999999</v>
      </c>
      <c r="N21" s="3">
        <v>0</v>
      </c>
      <c r="O21" s="3">
        <v>4.0758999999999999</v>
      </c>
      <c r="P21" s="3" t="s">
        <v>505</v>
      </c>
      <c r="Q21" s="3" t="s">
        <v>506</v>
      </c>
    </row>
    <row r="22" spans="1:17" x14ac:dyDescent="0.25">
      <c r="A22" s="2">
        <v>19</v>
      </c>
      <c r="B22" s="2">
        <v>2023</v>
      </c>
      <c r="C22" s="2" t="s">
        <v>39</v>
      </c>
      <c r="D22" s="2" t="s">
        <v>507</v>
      </c>
      <c r="E22" s="2" t="s">
        <v>154</v>
      </c>
      <c r="F22" s="2" t="s">
        <v>515</v>
      </c>
      <c r="G22" s="2" t="s">
        <v>516</v>
      </c>
      <c r="H22" s="2">
        <v>21950.1</v>
      </c>
      <c r="I22" s="2" t="s">
        <v>504</v>
      </c>
      <c r="J22" s="2">
        <v>0.43840000000000001</v>
      </c>
      <c r="K22" s="2">
        <v>2.36</v>
      </c>
      <c r="L22" s="2">
        <v>0.66890000000000005</v>
      </c>
      <c r="M22" s="2">
        <v>9.6228999999999996</v>
      </c>
      <c r="N22" s="2">
        <v>0.34649999999999997</v>
      </c>
      <c r="O22" s="2">
        <v>9.9694000000000003</v>
      </c>
      <c r="P22" s="2" t="s">
        <v>505</v>
      </c>
      <c r="Q22" s="2" t="s">
        <v>512</v>
      </c>
    </row>
    <row r="23" spans="1:17" x14ac:dyDescent="0.25">
      <c r="A23" s="3">
        <v>20</v>
      </c>
      <c r="B23" s="3">
        <v>2023</v>
      </c>
      <c r="C23" s="3" t="s">
        <v>46</v>
      </c>
      <c r="D23" s="3" t="s">
        <v>521</v>
      </c>
      <c r="E23" s="3" t="s">
        <v>139</v>
      </c>
      <c r="F23" s="3" t="s">
        <v>515</v>
      </c>
      <c r="G23" s="3" t="s">
        <v>516</v>
      </c>
      <c r="H23" s="3">
        <v>760.6</v>
      </c>
      <c r="I23" s="3" t="s">
        <v>504</v>
      </c>
      <c r="J23" s="3">
        <v>0.45269999999999999</v>
      </c>
      <c r="K23" s="3">
        <v>2.0699999999999998</v>
      </c>
      <c r="L23" s="3">
        <v>0.61470000000000002</v>
      </c>
      <c r="M23" s="3">
        <v>0.34429999999999999</v>
      </c>
      <c r="N23" s="3">
        <v>9.7000000000000003E-3</v>
      </c>
      <c r="O23" s="3">
        <v>0.35399999999999998</v>
      </c>
      <c r="P23" s="3" t="s">
        <v>505</v>
      </c>
      <c r="Q23" s="3" t="s">
        <v>512</v>
      </c>
    </row>
    <row r="24" spans="1:17" x14ac:dyDescent="0.25">
      <c r="A24" s="2">
        <v>21</v>
      </c>
      <c r="B24" s="2">
        <v>2023</v>
      </c>
      <c r="C24" s="2" t="s">
        <v>22</v>
      </c>
      <c r="D24" s="2" t="s">
        <v>511</v>
      </c>
      <c r="E24" s="2" t="s">
        <v>24</v>
      </c>
      <c r="F24" s="2" t="s">
        <v>515</v>
      </c>
      <c r="G24" s="2" t="s">
        <v>516</v>
      </c>
      <c r="H24" s="2">
        <v>50271.4</v>
      </c>
      <c r="I24" s="2" t="s">
        <v>504</v>
      </c>
      <c r="J24" s="2">
        <v>0.47470000000000001</v>
      </c>
      <c r="K24" s="2">
        <v>4.58</v>
      </c>
      <c r="L24" s="2">
        <v>0.81989999999999996</v>
      </c>
      <c r="M24" s="2">
        <v>23.863800000000001</v>
      </c>
      <c r="N24" s="2">
        <v>1.8877999999999999</v>
      </c>
      <c r="O24" s="2">
        <v>25.7516</v>
      </c>
      <c r="P24" s="2" t="s">
        <v>505</v>
      </c>
      <c r="Q24" s="2" t="s">
        <v>506</v>
      </c>
    </row>
    <row r="25" spans="1:17" x14ac:dyDescent="0.25">
      <c r="A25" s="3">
        <v>22</v>
      </c>
      <c r="B25" s="3">
        <v>2023</v>
      </c>
      <c r="C25" s="3" t="s">
        <v>32</v>
      </c>
      <c r="D25" s="3" t="s">
        <v>521</v>
      </c>
      <c r="E25" s="3" t="s">
        <v>54</v>
      </c>
      <c r="F25" s="3" t="s">
        <v>525</v>
      </c>
      <c r="G25" s="3" t="s">
        <v>509</v>
      </c>
      <c r="H25" s="3">
        <v>24172.799999999999</v>
      </c>
      <c r="I25" s="3" t="s">
        <v>510</v>
      </c>
      <c r="J25" s="3">
        <v>0.72299999999999998</v>
      </c>
      <c r="K25" s="3">
        <v>0</v>
      </c>
      <c r="L25" s="3">
        <v>0</v>
      </c>
      <c r="M25" s="3">
        <v>17.476900000000001</v>
      </c>
      <c r="N25" s="3">
        <v>0</v>
      </c>
      <c r="O25" s="3">
        <v>17.476900000000001</v>
      </c>
      <c r="P25" s="3" t="s">
        <v>505</v>
      </c>
      <c r="Q25" s="3" t="s">
        <v>512</v>
      </c>
    </row>
    <row r="26" spans="1:17" x14ac:dyDescent="0.25">
      <c r="A26" s="2">
        <v>23</v>
      </c>
      <c r="B26" s="2">
        <v>2023</v>
      </c>
      <c r="C26" s="2" t="s">
        <v>39</v>
      </c>
      <c r="D26" s="2" t="s">
        <v>526</v>
      </c>
      <c r="E26" s="2" t="s">
        <v>204</v>
      </c>
      <c r="F26" s="2" t="s">
        <v>508</v>
      </c>
      <c r="G26" s="2" t="s">
        <v>509</v>
      </c>
      <c r="H26" s="2">
        <v>79514.100000000006</v>
      </c>
      <c r="I26" s="2" t="s">
        <v>510</v>
      </c>
      <c r="J26" s="2">
        <v>0.18190000000000001</v>
      </c>
      <c r="K26" s="2">
        <v>0</v>
      </c>
      <c r="L26" s="2">
        <v>0</v>
      </c>
      <c r="M26" s="2">
        <v>14.4636</v>
      </c>
      <c r="N26" s="2">
        <v>0</v>
      </c>
      <c r="O26" s="2">
        <v>14.4636</v>
      </c>
      <c r="P26" s="2" t="s">
        <v>505</v>
      </c>
      <c r="Q26" s="2" t="s">
        <v>518</v>
      </c>
    </row>
    <row r="27" spans="1:17" x14ac:dyDescent="0.25">
      <c r="A27" s="3">
        <v>24</v>
      </c>
      <c r="B27" s="3">
        <v>2023</v>
      </c>
      <c r="C27" s="3" t="s">
        <v>46</v>
      </c>
      <c r="D27" s="3" t="s">
        <v>524</v>
      </c>
      <c r="E27" s="3" t="s">
        <v>154</v>
      </c>
      <c r="F27" s="3" t="s">
        <v>520</v>
      </c>
      <c r="G27" s="3" t="s">
        <v>509</v>
      </c>
      <c r="H27" s="3">
        <v>99024.3</v>
      </c>
      <c r="I27" s="3" t="s">
        <v>510</v>
      </c>
      <c r="J27" s="3">
        <v>0.38390000000000002</v>
      </c>
      <c r="K27" s="3">
        <v>0</v>
      </c>
      <c r="L27" s="3">
        <v>0</v>
      </c>
      <c r="M27" s="3">
        <v>38.0154</v>
      </c>
      <c r="N27" s="3">
        <v>0</v>
      </c>
      <c r="O27" s="3">
        <v>38.0154</v>
      </c>
      <c r="P27" s="3" t="s">
        <v>505</v>
      </c>
      <c r="Q27" s="3" t="s">
        <v>518</v>
      </c>
    </row>
    <row r="28" spans="1:17" x14ac:dyDescent="0.25">
      <c r="A28" s="2">
        <v>25</v>
      </c>
      <c r="B28" s="2">
        <v>2023</v>
      </c>
      <c r="C28" s="2" t="s">
        <v>22</v>
      </c>
      <c r="D28" s="2" t="s">
        <v>513</v>
      </c>
      <c r="E28" s="2" t="s">
        <v>96</v>
      </c>
      <c r="F28" s="2" t="s">
        <v>515</v>
      </c>
      <c r="G28" s="2" t="s">
        <v>516</v>
      </c>
      <c r="H28" s="2">
        <v>9440.7000000000007</v>
      </c>
      <c r="I28" s="2" t="s">
        <v>504</v>
      </c>
      <c r="J28" s="2">
        <v>0.4269</v>
      </c>
      <c r="K28" s="2">
        <v>5.32</v>
      </c>
      <c r="L28" s="2">
        <v>0.37809999999999999</v>
      </c>
      <c r="M28" s="2">
        <v>4.0301999999999998</v>
      </c>
      <c r="N28" s="2">
        <v>0.18990000000000001</v>
      </c>
      <c r="O28" s="2">
        <v>4.2201000000000004</v>
      </c>
      <c r="P28" s="2" t="s">
        <v>505</v>
      </c>
      <c r="Q28" s="2" t="s">
        <v>506</v>
      </c>
    </row>
    <row r="29" spans="1:17" x14ac:dyDescent="0.25">
      <c r="A29" s="3">
        <v>26</v>
      </c>
      <c r="B29" s="3">
        <v>2023</v>
      </c>
      <c r="C29" s="3" t="s">
        <v>32</v>
      </c>
      <c r="D29" s="3" t="s">
        <v>519</v>
      </c>
      <c r="E29" s="3" t="s">
        <v>58</v>
      </c>
      <c r="F29" s="3" t="s">
        <v>514</v>
      </c>
      <c r="G29" s="3" t="s">
        <v>509</v>
      </c>
      <c r="H29" s="3">
        <v>50035.9</v>
      </c>
      <c r="I29" s="3" t="s">
        <v>510</v>
      </c>
      <c r="J29" s="3">
        <v>0.39510000000000001</v>
      </c>
      <c r="K29" s="3">
        <v>0</v>
      </c>
      <c r="L29" s="3">
        <v>0</v>
      </c>
      <c r="M29" s="3">
        <v>19.769200000000001</v>
      </c>
      <c r="N29" s="3">
        <v>0</v>
      </c>
      <c r="O29" s="3">
        <v>19.769200000000001</v>
      </c>
      <c r="P29" s="3" t="s">
        <v>505</v>
      </c>
      <c r="Q29" s="3" t="s">
        <v>506</v>
      </c>
    </row>
    <row r="30" spans="1:17" x14ac:dyDescent="0.25">
      <c r="A30" s="2">
        <v>27</v>
      </c>
      <c r="B30" s="2">
        <v>2023</v>
      </c>
      <c r="C30" s="2" t="s">
        <v>39</v>
      </c>
      <c r="D30" s="2" t="s">
        <v>521</v>
      </c>
      <c r="E30" s="2" t="s">
        <v>120</v>
      </c>
      <c r="F30" s="2" t="s">
        <v>515</v>
      </c>
      <c r="G30" s="2" t="s">
        <v>516</v>
      </c>
      <c r="H30" s="2">
        <v>23053.7</v>
      </c>
      <c r="I30" s="2" t="s">
        <v>504</v>
      </c>
      <c r="J30" s="2">
        <v>0.50519999999999998</v>
      </c>
      <c r="K30" s="2">
        <v>6.15</v>
      </c>
      <c r="L30" s="2">
        <v>0.63339999999999996</v>
      </c>
      <c r="M30" s="2">
        <v>11.646699999999999</v>
      </c>
      <c r="N30" s="2">
        <v>0.89800000000000002</v>
      </c>
      <c r="O30" s="2">
        <v>12.544700000000001</v>
      </c>
      <c r="P30" s="2" t="s">
        <v>505</v>
      </c>
      <c r="Q30" s="2" t="s">
        <v>506</v>
      </c>
    </row>
    <row r="31" spans="1:17" x14ac:dyDescent="0.25">
      <c r="A31" s="3">
        <v>28</v>
      </c>
      <c r="B31" s="3">
        <v>2023</v>
      </c>
      <c r="C31" s="3" t="s">
        <v>46</v>
      </c>
      <c r="D31" s="3" t="s">
        <v>513</v>
      </c>
      <c r="E31" s="3" t="s">
        <v>110</v>
      </c>
      <c r="F31" s="3" t="s">
        <v>508</v>
      </c>
      <c r="G31" s="3" t="s">
        <v>509</v>
      </c>
      <c r="H31" s="3">
        <v>89941.2</v>
      </c>
      <c r="I31" s="3" t="s">
        <v>510</v>
      </c>
      <c r="J31" s="3">
        <v>0.2545</v>
      </c>
      <c r="K31" s="3">
        <v>0</v>
      </c>
      <c r="L31" s="3">
        <v>0</v>
      </c>
      <c r="M31" s="3">
        <v>22.89</v>
      </c>
      <c r="N31" s="3">
        <v>0</v>
      </c>
      <c r="O31" s="3">
        <v>22.89</v>
      </c>
      <c r="P31" s="3" t="s">
        <v>505</v>
      </c>
      <c r="Q31" s="3" t="s">
        <v>512</v>
      </c>
    </row>
    <row r="32" spans="1:17" x14ac:dyDescent="0.25">
      <c r="A32" s="2">
        <v>29</v>
      </c>
      <c r="B32" s="2">
        <v>2023</v>
      </c>
      <c r="C32" s="2" t="s">
        <v>22</v>
      </c>
      <c r="D32" s="2" t="s">
        <v>526</v>
      </c>
      <c r="E32" s="2" t="s">
        <v>70</v>
      </c>
      <c r="F32" s="2" t="s">
        <v>515</v>
      </c>
      <c r="G32" s="2" t="s">
        <v>516</v>
      </c>
      <c r="H32" s="2">
        <v>96150.8</v>
      </c>
      <c r="I32" s="2" t="s">
        <v>504</v>
      </c>
      <c r="J32" s="2">
        <v>0.45810000000000001</v>
      </c>
      <c r="K32" s="2">
        <v>6.51</v>
      </c>
      <c r="L32" s="2">
        <v>0.70640000000000003</v>
      </c>
      <c r="M32" s="2">
        <v>44.046700000000001</v>
      </c>
      <c r="N32" s="2">
        <v>4.4217000000000004</v>
      </c>
      <c r="O32" s="2">
        <v>48.468400000000003</v>
      </c>
      <c r="P32" s="2" t="s">
        <v>505</v>
      </c>
      <c r="Q32" s="2" t="s">
        <v>506</v>
      </c>
    </row>
    <row r="33" spans="1:17" x14ac:dyDescent="0.25">
      <c r="A33" s="3">
        <v>30</v>
      </c>
      <c r="B33" s="3">
        <v>2023</v>
      </c>
      <c r="C33" s="3" t="s">
        <v>32</v>
      </c>
      <c r="D33" s="3" t="s">
        <v>526</v>
      </c>
      <c r="E33" s="3" t="s">
        <v>154</v>
      </c>
      <c r="F33" s="3" t="s">
        <v>508</v>
      </c>
      <c r="G33" s="3" t="s">
        <v>509</v>
      </c>
      <c r="H33" s="3">
        <v>16328.8</v>
      </c>
      <c r="I33" s="3" t="s">
        <v>510</v>
      </c>
      <c r="J33" s="3">
        <v>0.20610000000000001</v>
      </c>
      <c r="K33" s="3">
        <v>0</v>
      </c>
      <c r="L33" s="3">
        <v>0</v>
      </c>
      <c r="M33" s="3">
        <v>3.3654000000000002</v>
      </c>
      <c r="N33" s="3">
        <v>0</v>
      </c>
      <c r="O33" s="3">
        <v>3.3654000000000002</v>
      </c>
      <c r="P33" s="3" t="s">
        <v>505</v>
      </c>
      <c r="Q33" s="3" t="s">
        <v>518</v>
      </c>
    </row>
    <row r="34" spans="1:17" x14ac:dyDescent="0.25">
      <c r="A34" s="2">
        <v>31</v>
      </c>
      <c r="B34" s="2">
        <v>2023</v>
      </c>
      <c r="C34" s="2" t="s">
        <v>39</v>
      </c>
      <c r="D34" s="2" t="s">
        <v>524</v>
      </c>
      <c r="E34" s="2" t="s">
        <v>139</v>
      </c>
      <c r="F34" s="2" t="s">
        <v>517</v>
      </c>
      <c r="G34" s="2" t="s">
        <v>509</v>
      </c>
      <c r="H34" s="2">
        <v>38446.199999999997</v>
      </c>
      <c r="I34" s="2" t="s">
        <v>510</v>
      </c>
      <c r="J34" s="2">
        <v>0.59099999999999997</v>
      </c>
      <c r="K34" s="2">
        <v>0</v>
      </c>
      <c r="L34" s="2">
        <v>0</v>
      </c>
      <c r="M34" s="2">
        <v>22.721699999999998</v>
      </c>
      <c r="N34" s="2">
        <v>0</v>
      </c>
      <c r="O34" s="2">
        <v>22.721699999999998</v>
      </c>
      <c r="P34" s="2" t="s">
        <v>505</v>
      </c>
      <c r="Q34" s="2" t="s">
        <v>518</v>
      </c>
    </row>
    <row r="35" spans="1:17" x14ac:dyDescent="0.25">
      <c r="A35" s="3">
        <v>32</v>
      </c>
      <c r="B35" s="3">
        <v>2023</v>
      </c>
      <c r="C35" s="3" t="s">
        <v>46</v>
      </c>
      <c r="D35" s="3" t="s">
        <v>524</v>
      </c>
      <c r="E35" s="3" t="s">
        <v>88</v>
      </c>
      <c r="F35" s="3" t="s">
        <v>517</v>
      </c>
      <c r="G35" s="3" t="s">
        <v>509</v>
      </c>
      <c r="H35" s="3">
        <v>5464.3</v>
      </c>
      <c r="I35" s="3" t="s">
        <v>510</v>
      </c>
      <c r="J35" s="3">
        <v>0.54559999999999997</v>
      </c>
      <c r="K35" s="3">
        <v>0</v>
      </c>
      <c r="L35" s="3">
        <v>0</v>
      </c>
      <c r="M35" s="3">
        <v>2.9813000000000001</v>
      </c>
      <c r="N35" s="3">
        <v>0</v>
      </c>
      <c r="O35" s="3">
        <v>2.9813000000000001</v>
      </c>
      <c r="P35" s="3" t="s">
        <v>505</v>
      </c>
      <c r="Q35" s="3" t="s">
        <v>518</v>
      </c>
    </row>
    <row r="36" spans="1:17" x14ac:dyDescent="0.25">
      <c r="A36" s="2">
        <v>33</v>
      </c>
      <c r="B36" s="2">
        <v>2023</v>
      </c>
      <c r="C36" s="2" t="s">
        <v>22</v>
      </c>
      <c r="D36" s="2" t="s">
        <v>521</v>
      </c>
      <c r="E36" s="2" t="s">
        <v>92</v>
      </c>
      <c r="F36" s="2" t="s">
        <v>502</v>
      </c>
      <c r="G36" s="2" t="s">
        <v>503</v>
      </c>
      <c r="H36" s="2">
        <v>96895.2</v>
      </c>
      <c r="I36" s="2" t="s">
        <v>504</v>
      </c>
      <c r="J36" s="2">
        <v>0.249</v>
      </c>
      <c r="K36" s="2">
        <v>0</v>
      </c>
      <c r="L36" s="2">
        <v>0</v>
      </c>
      <c r="M36" s="2">
        <v>24.126899999999999</v>
      </c>
      <c r="N36" s="2">
        <v>0</v>
      </c>
      <c r="O36" s="2">
        <v>24.126899999999999</v>
      </c>
      <c r="P36" s="2" t="s">
        <v>505</v>
      </c>
      <c r="Q36" s="2" t="s">
        <v>512</v>
      </c>
    </row>
    <row r="37" spans="1:17" x14ac:dyDescent="0.25">
      <c r="A37" s="3">
        <v>34</v>
      </c>
      <c r="B37" s="3">
        <v>2023</v>
      </c>
      <c r="C37" s="3" t="s">
        <v>32</v>
      </c>
      <c r="D37" s="3" t="s">
        <v>526</v>
      </c>
      <c r="E37" s="3" t="s">
        <v>33</v>
      </c>
      <c r="F37" s="3" t="s">
        <v>522</v>
      </c>
      <c r="G37" s="3" t="s">
        <v>523</v>
      </c>
      <c r="H37" s="3">
        <v>22891</v>
      </c>
      <c r="I37" s="3" t="s">
        <v>510</v>
      </c>
      <c r="J37" s="3">
        <v>6.3E-2</v>
      </c>
      <c r="K37" s="3">
        <v>0</v>
      </c>
      <c r="L37" s="3">
        <v>0</v>
      </c>
      <c r="M37" s="3">
        <v>1.4420999999999999</v>
      </c>
      <c r="N37" s="3">
        <v>0</v>
      </c>
      <c r="O37" s="3">
        <v>1.4420999999999999</v>
      </c>
      <c r="P37" s="3" t="s">
        <v>505</v>
      </c>
      <c r="Q37" s="3" t="s">
        <v>506</v>
      </c>
    </row>
    <row r="38" spans="1:17" x14ac:dyDescent="0.25">
      <c r="A38" s="2">
        <v>35</v>
      </c>
      <c r="B38" s="2">
        <v>2023</v>
      </c>
      <c r="C38" s="2" t="s">
        <v>39</v>
      </c>
      <c r="D38" s="2" t="s">
        <v>501</v>
      </c>
      <c r="E38" s="2" t="s">
        <v>96</v>
      </c>
      <c r="F38" s="2" t="s">
        <v>502</v>
      </c>
      <c r="G38" s="2" t="s">
        <v>503</v>
      </c>
      <c r="H38" s="2">
        <v>8660.7999999999993</v>
      </c>
      <c r="I38" s="2" t="s">
        <v>504</v>
      </c>
      <c r="J38" s="2">
        <v>0.2928</v>
      </c>
      <c r="K38" s="2">
        <v>0</v>
      </c>
      <c r="L38" s="2">
        <v>0</v>
      </c>
      <c r="M38" s="2">
        <v>2.5358999999999998</v>
      </c>
      <c r="N38" s="2">
        <v>0</v>
      </c>
      <c r="O38" s="2">
        <v>2.5358999999999998</v>
      </c>
      <c r="P38" s="2" t="s">
        <v>505</v>
      </c>
      <c r="Q38" s="2" t="s">
        <v>506</v>
      </c>
    </row>
    <row r="39" spans="1:17" x14ac:dyDescent="0.25">
      <c r="A39" s="3">
        <v>36</v>
      </c>
      <c r="B39" s="3">
        <v>2023</v>
      </c>
      <c r="C39" s="3" t="s">
        <v>46</v>
      </c>
      <c r="D39" s="3" t="s">
        <v>511</v>
      </c>
      <c r="E39" s="3" t="s">
        <v>96</v>
      </c>
      <c r="F39" s="3" t="s">
        <v>514</v>
      </c>
      <c r="G39" s="3" t="s">
        <v>509</v>
      </c>
      <c r="H39" s="3">
        <v>26870.400000000001</v>
      </c>
      <c r="I39" s="3" t="s">
        <v>510</v>
      </c>
      <c r="J39" s="3">
        <v>0.38700000000000001</v>
      </c>
      <c r="K39" s="3">
        <v>0</v>
      </c>
      <c r="L39" s="3">
        <v>0</v>
      </c>
      <c r="M39" s="3">
        <v>10.3988</v>
      </c>
      <c r="N39" s="3">
        <v>0</v>
      </c>
      <c r="O39" s="3">
        <v>10.3988</v>
      </c>
      <c r="P39" s="3" t="s">
        <v>505</v>
      </c>
      <c r="Q39" s="3" t="s">
        <v>512</v>
      </c>
    </row>
    <row r="40" spans="1:17" x14ac:dyDescent="0.25">
      <c r="A40" s="2">
        <v>37</v>
      </c>
      <c r="B40" s="2">
        <v>2023</v>
      </c>
      <c r="C40" s="2" t="s">
        <v>22</v>
      </c>
      <c r="D40" s="2" t="s">
        <v>521</v>
      </c>
      <c r="E40" s="2" t="s">
        <v>204</v>
      </c>
      <c r="F40" s="2" t="s">
        <v>517</v>
      </c>
      <c r="G40" s="2" t="s">
        <v>509</v>
      </c>
      <c r="H40" s="2">
        <v>36134</v>
      </c>
      <c r="I40" s="2" t="s">
        <v>510</v>
      </c>
      <c r="J40" s="2">
        <v>0.49370000000000003</v>
      </c>
      <c r="K40" s="2">
        <v>0</v>
      </c>
      <c r="L40" s="2">
        <v>0</v>
      </c>
      <c r="M40" s="2">
        <v>17.839400000000001</v>
      </c>
      <c r="N40" s="2">
        <v>0</v>
      </c>
      <c r="O40" s="2">
        <v>17.839400000000001</v>
      </c>
      <c r="P40" s="2" t="s">
        <v>505</v>
      </c>
      <c r="Q40" s="2" t="s">
        <v>512</v>
      </c>
    </row>
    <row r="41" spans="1:17" x14ac:dyDescent="0.25">
      <c r="A41" s="3">
        <v>38</v>
      </c>
      <c r="B41" s="3">
        <v>2023</v>
      </c>
      <c r="C41" s="3" t="s">
        <v>32</v>
      </c>
      <c r="D41" s="3" t="s">
        <v>526</v>
      </c>
      <c r="E41" s="3" t="s">
        <v>204</v>
      </c>
      <c r="F41" s="3" t="s">
        <v>508</v>
      </c>
      <c r="G41" s="3" t="s">
        <v>509</v>
      </c>
      <c r="H41" s="3">
        <v>10312.9</v>
      </c>
      <c r="I41" s="3" t="s">
        <v>510</v>
      </c>
      <c r="J41" s="3">
        <v>0.18310000000000001</v>
      </c>
      <c r="K41" s="3">
        <v>0</v>
      </c>
      <c r="L41" s="3">
        <v>0</v>
      </c>
      <c r="M41" s="3">
        <v>1.8883000000000001</v>
      </c>
      <c r="N41" s="3">
        <v>0</v>
      </c>
      <c r="O41" s="3">
        <v>1.8883000000000001</v>
      </c>
      <c r="P41" s="3" t="s">
        <v>505</v>
      </c>
      <c r="Q41" s="3" t="s">
        <v>518</v>
      </c>
    </row>
    <row r="42" spans="1:17" x14ac:dyDescent="0.25">
      <c r="A42" s="2">
        <v>39</v>
      </c>
      <c r="B42" s="2">
        <v>2023</v>
      </c>
      <c r="C42" s="2" t="s">
        <v>39</v>
      </c>
      <c r="D42" s="2" t="s">
        <v>524</v>
      </c>
      <c r="E42" s="2" t="s">
        <v>58</v>
      </c>
      <c r="F42" s="2" t="s">
        <v>502</v>
      </c>
      <c r="G42" s="2" t="s">
        <v>503</v>
      </c>
      <c r="H42" s="2">
        <v>10419</v>
      </c>
      <c r="I42" s="2" t="s">
        <v>504</v>
      </c>
      <c r="J42" s="2">
        <v>0.21340000000000001</v>
      </c>
      <c r="K42" s="2">
        <v>0</v>
      </c>
      <c r="L42" s="2">
        <v>0</v>
      </c>
      <c r="M42" s="2">
        <v>2.2233999999999998</v>
      </c>
      <c r="N42" s="2">
        <v>0</v>
      </c>
      <c r="O42" s="2">
        <v>2.2233999999999998</v>
      </c>
      <c r="P42" s="2" t="s">
        <v>505</v>
      </c>
      <c r="Q42" s="2" t="s">
        <v>518</v>
      </c>
    </row>
    <row r="43" spans="1:17" x14ac:dyDescent="0.25">
      <c r="A43" s="3">
        <v>40</v>
      </c>
      <c r="B43" s="3">
        <v>2023</v>
      </c>
      <c r="C43" s="3" t="s">
        <v>46</v>
      </c>
      <c r="D43" s="3" t="s">
        <v>526</v>
      </c>
      <c r="E43" s="3" t="s">
        <v>33</v>
      </c>
      <c r="F43" s="3" t="s">
        <v>517</v>
      </c>
      <c r="G43" s="3" t="s">
        <v>509</v>
      </c>
      <c r="H43" s="3">
        <v>86385.4</v>
      </c>
      <c r="I43" s="3" t="s">
        <v>510</v>
      </c>
      <c r="J43" s="3">
        <v>0.4819</v>
      </c>
      <c r="K43" s="3">
        <v>0</v>
      </c>
      <c r="L43" s="3">
        <v>0</v>
      </c>
      <c r="M43" s="3">
        <v>41.629100000000001</v>
      </c>
      <c r="N43" s="3">
        <v>0</v>
      </c>
      <c r="O43" s="3">
        <v>41.629100000000001</v>
      </c>
      <c r="P43" s="3" t="s">
        <v>505</v>
      </c>
      <c r="Q43" s="3" t="s">
        <v>506</v>
      </c>
    </row>
    <row r="44" spans="1:17" x14ac:dyDescent="0.25">
      <c r="A44" s="2">
        <v>41</v>
      </c>
      <c r="B44" s="2">
        <v>2023</v>
      </c>
      <c r="C44" s="2" t="s">
        <v>22</v>
      </c>
      <c r="D44" s="2" t="s">
        <v>526</v>
      </c>
      <c r="E44" s="2" t="s">
        <v>110</v>
      </c>
      <c r="F44" s="2" t="s">
        <v>520</v>
      </c>
      <c r="G44" s="2" t="s">
        <v>509</v>
      </c>
      <c r="H44" s="2">
        <v>57238.8</v>
      </c>
      <c r="I44" s="2" t="s">
        <v>510</v>
      </c>
      <c r="J44" s="2">
        <v>0.37540000000000001</v>
      </c>
      <c r="K44" s="2">
        <v>0</v>
      </c>
      <c r="L44" s="2">
        <v>0</v>
      </c>
      <c r="M44" s="2">
        <v>21.487400000000001</v>
      </c>
      <c r="N44" s="2">
        <v>0</v>
      </c>
      <c r="O44" s="2">
        <v>21.487400000000001</v>
      </c>
      <c r="P44" s="2" t="s">
        <v>505</v>
      </c>
      <c r="Q44" s="2" t="s">
        <v>506</v>
      </c>
    </row>
    <row r="45" spans="1:17" x14ac:dyDescent="0.25">
      <c r="A45" s="3">
        <v>42</v>
      </c>
      <c r="B45" s="3">
        <v>2023</v>
      </c>
      <c r="C45" s="3" t="s">
        <v>32</v>
      </c>
      <c r="D45" s="3" t="s">
        <v>524</v>
      </c>
      <c r="E45" s="3" t="s">
        <v>110</v>
      </c>
      <c r="F45" s="3" t="s">
        <v>508</v>
      </c>
      <c r="G45" s="3" t="s">
        <v>509</v>
      </c>
      <c r="H45" s="3">
        <v>30183</v>
      </c>
      <c r="I45" s="3" t="s">
        <v>510</v>
      </c>
      <c r="J45" s="3">
        <v>0.24399999999999999</v>
      </c>
      <c r="K45" s="3">
        <v>0</v>
      </c>
      <c r="L45" s="3">
        <v>0</v>
      </c>
      <c r="M45" s="3">
        <v>7.3647</v>
      </c>
      <c r="N45" s="3">
        <v>0</v>
      </c>
      <c r="O45" s="3">
        <v>7.3647</v>
      </c>
      <c r="P45" s="3" t="s">
        <v>505</v>
      </c>
      <c r="Q45" s="3" t="s">
        <v>512</v>
      </c>
    </row>
    <row r="46" spans="1:17" x14ac:dyDescent="0.25">
      <c r="A46" s="2">
        <v>43</v>
      </c>
      <c r="B46" s="2">
        <v>2023</v>
      </c>
      <c r="C46" s="2" t="s">
        <v>39</v>
      </c>
      <c r="D46" s="2" t="s">
        <v>524</v>
      </c>
      <c r="E46" s="2" t="s">
        <v>88</v>
      </c>
      <c r="F46" s="2" t="s">
        <v>508</v>
      </c>
      <c r="G46" s="2" t="s">
        <v>509</v>
      </c>
      <c r="H46" s="2">
        <v>42168.1</v>
      </c>
      <c r="I46" s="2" t="s">
        <v>510</v>
      </c>
      <c r="J46" s="2">
        <v>0.24260000000000001</v>
      </c>
      <c r="K46" s="2">
        <v>0</v>
      </c>
      <c r="L46" s="2">
        <v>0</v>
      </c>
      <c r="M46" s="2">
        <v>10.23</v>
      </c>
      <c r="N46" s="2">
        <v>0</v>
      </c>
      <c r="O46" s="2">
        <v>10.23</v>
      </c>
      <c r="P46" s="2" t="s">
        <v>505</v>
      </c>
      <c r="Q46" s="2" t="s">
        <v>512</v>
      </c>
    </row>
    <row r="47" spans="1:17" x14ac:dyDescent="0.25">
      <c r="A47" s="3">
        <v>44</v>
      </c>
      <c r="B47" s="3">
        <v>2023</v>
      </c>
      <c r="C47" s="3" t="s">
        <v>46</v>
      </c>
      <c r="D47" s="3" t="s">
        <v>501</v>
      </c>
      <c r="E47" s="3" t="s">
        <v>204</v>
      </c>
      <c r="F47" s="3" t="s">
        <v>520</v>
      </c>
      <c r="G47" s="3" t="s">
        <v>509</v>
      </c>
      <c r="H47" s="3">
        <v>72117.899999999994</v>
      </c>
      <c r="I47" s="3" t="s">
        <v>510</v>
      </c>
      <c r="J47" s="3">
        <v>0.4244</v>
      </c>
      <c r="K47" s="3">
        <v>0</v>
      </c>
      <c r="L47" s="3">
        <v>0</v>
      </c>
      <c r="M47" s="3">
        <v>30.6068</v>
      </c>
      <c r="N47" s="3">
        <v>0</v>
      </c>
      <c r="O47" s="3">
        <v>30.6068</v>
      </c>
      <c r="P47" s="3" t="s">
        <v>505</v>
      </c>
      <c r="Q47" s="3" t="s">
        <v>506</v>
      </c>
    </row>
    <row r="48" spans="1:17" x14ac:dyDescent="0.25">
      <c r="A48" s="2">
        <v>45</v>
      </c>
      <c r="B48" s="2">
        <v>2023</v>
      </c>
      <c r="C48" s="2" t="s">
        <v>22</v>
      </c>
      <c r="D48" s="2" t="s">
        <v>519</v>
      </c>
      <c r="E48" s="2" t="s">
        <v>54</v>
      </c>
      <c r="F48" s="2" t="s">
        <v>525</v>
      </c>
      <c r="G48" s="2" t="s">
        <v>509</v>
      </c>
      <c r="H48" s="2">
        <v>30535.3</v>
      </c>
      <c r="I48" s="2" t="s">
        <v>510</v>
      </c>
      <c r="J48" s="2">
        <v>0.77229999999999999</v>
      </c>
      <c r="K48" s="2">
        <v>0</v>
      </c>
      <c r="L48" s="2">
        <v>0</v>
      </c>
      <c r="M48" s="2">
        <v>23.5824</v>
      </c>
      <c r="N48" s="2">
        <v>0</v>
      </c>
      <c r="O48" s="2">
        <v>23.5824</v>
      </c>
      <c r="P48" s="2" t="s">
        <v>505</v>
      </c>
      <c r="Q48" s="2" t="s">
        <v>518</v>
      </c>
    </row>
    <row r="49" spans="1:17" x14ac:dyDescent="0.25">
      <c r="A49" s="3">
        <v>46</v>
      </c>
      <c r="B49" s="3">
        <v>2023</v>
      </c>
      <c r="C49" s="3" t="s">
        <v>32</v>
      </c>
      <c r="D49" s="3" t="s">
        <v>519</v>
      </c>
      <c r="E49" s="3" t="s">
        <v>33</v>
      </c>
      <c r="F49" s="3" t="s">
        <v>502</v>
      </c>
      <c r="G49" s="3" t="s">
        <v>503</v>
      </c>
      <c r="H49" s="3">
        <v>80427.199999999997</v>
      </c>
      <c r="I49" s="3" t="s">
        <v>504</v>
      </c>
      <c r="J49" s="3">
        <v>0.24940000000000001</v>
      </c>
      <c r="K49" s="3">
        <v>0</v>
      </c>
      <c r="L49" s="3">
        <v>0</v>
      </c>
      <c r="M49" s="3">
        <v>20.058499999999999</v>
      </c>
      <c r="N49" s="3">
        <v>0</v>
      </c>
      <c r="O49" s="3">
        <v>20.058499999999999</v>
      </c>
      <c r="P49" s="3" t="s">
        <v>505</v>
      </c>
      <c r="Q49" s="3" t="s">
        <v>518</v>
      </c>
    </row>
    <row r="50" spans="1:17" x14ac:dyDescent="0.25">
      <c r="A50" s="2">
        <v>47</v>
      </c>
      <c r="B50" s="2">
        <v>2023</v>
      </c>
      <c r="C50" s="2" t="s">
        <v>39</v>
      </c>
      <c r="D50" s="2" t="s">
        <v>501</v>
      </c>
      <c r="E50" s="2" t="s">
        <v>204</v>
      </c>
      <c r="F50" s="2" t="s">
        <v>525</v>
      </c>
      <c r="G50" s="2" t="s">
        <v>509</v>
      </c>
      <c r="H50" s="2">
        <v>30113.5</v>
      </c>
      <c r="I50" s="2" t="s">
        <v>510</v>
      </c>
      <c r="J50" s="2">
        <v>0.72050000000000003</v>
      </c>
      <c r="K50" s="2">
        <v>0</v>
      </c>
      <c r="L50" s="2">
        <v>0</v>
      </c>
      <c r="M50" s="2">
        <v>21.6968</v>
      </c>
      <c r="N50" s="2">
        <v>0</v>
      </c>
      <c r="O50" s="2">
        <v>21.6968</v>
      </c>
      <c r="P50" s="2" t="s">
        <v>505</v>
      </c>
      <c r="Q50" s="2" t="s">
        <v>512</v>
      </c>
    </row>
    <row r="51" spans="1:17" x14ac:dyDescent="0.25">
      <c r="A51" s="3">
        <v>48</v>
      </c>
      <c r="B51" s="3">
        <v>2023</v>
      </c>
      <c r="C51" s="3" t="s">
        <v>46</v>
      </c>
      <c r="D51" s="3" t="s">
        <v>521</v>
      </c>
      <c r="E51" s="3" t="s">
        <v>96</v>
      </c>
      <c r="F51" s="3" t="s">
        <v>525</v>
      </c>
      <c r="G51" s="3" t="s">
        <v>509</v>
      </c>
      <c r="H51" s="3">
        <v>96461</v>
      </c>
      <c r="I51" s="3" t="s">
        <v>510</v>
      </c>
      <c r="J51" s="3">
        <v>0.77529999999999999</v>
      </c>
      <c r="K51" s="3">
        <v>0</v>
      </c>
      <c r="L51" s="3">
        <v>0</v>
      </c>
      <c r="M51" s="3">
        <v>74.786199999999994</v>
      </c>
      <c r="N51" s="3">
        <v>0</v>
      </c>
      <c r="O51" s="3">
        <v>74.786199999999994</v>
      </c>
      <c r="P51" s="3" t="s">
        <v>505</v>
      </c>
      <c r="Q51" s="3" t="s">
        <v>518</v>
      </c>
    </row>
    <row r="52" spans="1:17" x14ac:dyDescent="0.25">
      <c r="A52" s="2">
        <v>49</v>
      </c>
      <c r="B52" s="2">
        <v>2023</v>
      </c>
      <c r="C52" s="2" t="s">
        <v>22</v>
      </c>
      <c r="D52" s="2" t="s">
        <v>519</v>
      </c>
      <c r="E52" s="2" t="s">
        <v>33</v>
      </c>
      <c r="F52" s="2" t="s">
        <v>522</v>
      </c>
      <c r="G52" s="2" t="s">
        <v>523</v>
      </c>
      <c r="H52" s="2">
        <v>96779.5</v>
      </c>
      <c r="I52" s="2" t="s">
        <v>510</v>
      </c>
      <c r="J52" s="2">
        <v>9.7299999999999998E-2</v>
      </c>
      <c r="K52" s="2">
        <v>0</v>
      </c>
      <c r="L52" s="2">
        <v>0</v>
      </c>
      <c r="M52" s="2">
        <v>9.4166000000000007</v>
      </c>
      <c r="N52" s="2">
        <v>0</v>
      </c>
      <c r="O52" s="2">
        <v>9.4166000000000007</v>
      </c>
      <c r="P52" s="2" t="s">
        <v>505</v>
      </c>
      <c r="Q52" s="2" t="s">
        <v>512</v>
      </c>
    </row>
    <row r="53" spans="1:17" x14ac:dyDescent="0.25">
      <c r="A53" s="3">
        <v>50</v>
      </c>
      <c r="B53" s="3">
        <v>2023</v>
      </c>
      <c r="C53" s="3" t="s">
        <v>32</v>
      </c>
      <c r="D53" s="3" t="s">
        <v>501</v>
      </c>
      <c r="E53" s="3" t="s">
        <v>58</v>
      </c>
      <c r="F53" s="3" t="s">
        <v>502</v>
      </c>
      <c r="G53" s="3" t="s">
        <v>503</v>
      </c>
      <c r="H53" s="3">
        <v>36565.1</v>
      </c>
      <c r="I53" s="3" t="s">
        <v>504</v>
      </c>
      <c r="J53" s="3">
        <v>0.33979999999999999</v>
      </c>
      <c r="K53" s="3">
        <v>0</v>
      </c>
      <c r="L53" s="3">
        <v>0</v>
      </c>
      <c r="M53" s="3">
        <v>12.424799999999999</v>
      </c>
      <c r="N53" s="3">
        <v>0</v>
      </c>
      <c r="O53" s="3">
        <v>12.424799999999999</v>
      </c>
      <c r="P53" s="3" t="s">
        <v>505</v>
      </c>
      <c r="Q53" s="3" t="s">
        <v>518</v>
      </c>
    </row>
    <row r="54" spans="1:17" x14ac:dyDescent="0.25">
      <c r="A54" s="2">
        <v>51</v>
      </c>
      <c r="B54" s="2">
        <v>2023</v>
      </c>
      <c r="C54" s="2" t="s">
        <v>39</v>
      </c>
      <c r="D54" s="2" t="s">
        <v>507</v>
      </c>
      <c r="E54" s="2" t="s">
        <v>96</v>
      </c>
      <c r="F54" s="2" t="s">
        <v>525</v>
      </c>
      <c r="G54" s="2" t="s">
        <v>509</v>
      </c>
      <c r="H54" s="2">
        <v>68203.100000000006</v>
      </c>
      <c r="I54" s="2" t="s">
        <v>510</v>
      </c>
      <c r="J54" s="2">
        <v>0.71250000000000002</v>
      </c>
      <c r="K54" s="2">
        <v>0</v>
      </c>
      <c r="L54" s="2">
        <v>0</v>
      </c>
      <c r="M54" s="2">
        <v>48.594700000000003</v>
      </c>
      <c r="N54" s="2">
        <v>0</v>
      </c>
      <c r="O54" s="2">
        <v>48.594700000000003</v>
      </c>
      <c r="P54" s="2" t="s">
        <v>505</v>
      </c>
      <c r="Q54" s="2" t="s">
        <v>506</v>
      </c>
    </row>
    <row r="55" spans="1:17" x14ac:dyDescent="0.25">
      <c r="A55" s="3">
        <v>52</v>
      </c>
      <c r="B55" s="3">
        <v>2023</v>
      </c>
      <c r="C55" s="3" t="s">
        <v>46</v>
      </c>
      <c r="D55" s="3" t="s">
        <v>524</v>
      </c>
      <c r="E55" s="3" t="s">
        <v>54</v>
      </c>
      <c r="F55" s="3" t="s">
        <v>522</v>
      </c>
      <c r="G55" s="3" t="s">
        <v>523</v>
      </c>
      <c r="H55" s="3">
        <v>79788.800000000003</v>
      </c>
      <c r="I55" s="3" t="s">
        <v>510</v>
      </c>
      <c r="J55" s="3">
        <v>0.1047</v>
      </c>
      <c r="K55" s="3">
        <v>0</v>
      </c>
      <c r="L55" s="3">
        <v>0</v>
      </c>
      <c r="M55" s="3">
        <v>8.3538999999999994</v>
      </c>
      <c r="N55" s="3">
        <v>0</v>
      </c>
      <c r="O55" s="3">
        <v>8.3538999999999994</v>
      </c>
      <c r="P55" s="3" t="s">
        <v>505</v>
      </c>
      <c r="Q55" s="3" t="s">
        <v>512</v>
      </c>
    </row>
    <row r="56" spans="1:17" x14ac:dyDescent="0.25">
      <c r="A56" s="2">
        <v>53</v>
      </c>
      <c r="B56" s="2">
        <v>2023</v>
      </c>
      <c r="C56" s="2" t="s">
        <v>22</v>
      </c>
      <c r="D56" s="2" t="s">
        <v>521</v>
      </c>
      <c r="E56" s="2" t="s">
        <v>154</v>
      </c>
      <c r="F56" s="2" t="s">
        <v>522</v>
      </c>
      <c r="G56" s="2" t="s">
        <v>523</v>
      </c>
      <c r="H56" s="2">
        <v>14004</v>
      </c>
      <c r="I56" s="2" t="s">
        <v>510</v>
      </c>
      <c r="J56" s="2">
        <v>2.5399999999999999E-2</v>
      </c>
      <c r="K56" s="2">
        <v>0</v>
      </c>
      <c r="L56" s="2">
        <v>0</v>
      </c>
      <c r="M56" s="2">
        <v>0.35570000000000002</v>
      </c>
      <c r="N56" s="2">
        <v>0</v>
      </c>
      <c r="O56" s="2">
        <v>0.35570000000000002</v>
      </c>
      <c r="P56" s="2" t="s">
        <v>505</v>
      </c>
      <c r="Q56" s="2" t="s">
        <v>506</v>
      </c>
    </row>
    <row r="57" spans="1:17" x14ac:dyDescent="0.25">
      <c r="A57" s="3">
        <v>54</v>
      </c>
      <c r="B57" s="3">
        <v>2023</v>
      </c>
      <c r="C57" s="3" t="s">
        <v>32</v>
      </c>
      <c r="D57" s="3" t="s">
        <v>507</v>
      </c>
      <c r="E57" s="3" t="s">
        <v>58</v>
      </c>
      <c r="F57" s="3" t="s">
        <v>502</v>
      </c>
      <c r="G57" s="3" t="s">
        <v>503</v>
      </c>
      <c r="H57" s="3">
        <v>78928.800000000003</v>
      </c>
      <c r="I57" s="3" t="s">
        <v>504</v>
      </c>
      <c r="J57" s="3">
        <v>0.21110000000000001</v>
      </c>
      <c r="K57" s="3">
        <v>0</v>
      </c>
      <c r="L57" s="3">
        <v>0</v>
      </c>
      <c r="M57" s="3">
        <v>16.661899999999999</v>
      </c>
      <c r="N57" s="3">
        <v>0</v>
      </c>
      <c r="O57" s="3">
        <v>16.661899999999999</v>
      </c>
      <c r="P57" s="3" t="s">
        <v>505</v>
      </c>
      <c r="Q57" s="3" t="s">
        <v>512</v>
      </c>
    </row>
    <row r="58" spans="1:17" x14ac:dyDescent="0.25">
      <c r="A58" s="2">
        <v>55</v>
      </c>
      <c r="B58" s="2">
        <v>2023</v>
      </c>
      <c r="C58" s="2" t="s">
        <v>39</v>
      </c>
      <c r="D58" s="2" t="s">
        <v>519</v>
      </c>
      <c r="E58" s="2" t="s">
        <v>96</v>
      </c>
      <c r="F58" s="2" t="s">
        <v>502</v>
      </c>
      <c r="G58" s="2" t="s">
        <v>503</v>
      </c>
      <c r="H58" s="2">
        <v>54410.2</v>
      </c>
      <c r="I58" s="2" t="s">
        <v>504</v>
      </c>
      <c r="J58" s="2">
        <v>0.31859999999999999</v>
      </c>
      <c r="K58" s="2">
        <v>0</v>
      </c>
      <c r="L58" s="2">
        <v>0</v>
      </c>
      <c r="M58" s="2">
        <v>17.335100000000001</v>
      </c>
      <c r="N58" s="2">
        <v>0</v>
      </c>
      <c r="O58" s="2">
        <v>17.335100000000001</v>
      </c>
      <c r="P58" s="2" t="s">
        <v>505</v>
      </c>
      <c r="Q58" s="2" t="s">
        <v>518</v>
      </c>
    </row>
    <row r="59" spans="1:17" x14ac:dyDescent="0.25">
      <c r="A59" s="3">
        <v>56</v>
      </c>
      <c r="B59" s="3">
        <v>2023</v>
      </c>
      <c r="C59" s="3" t="s">
        <v>46</v>
      </c>
      <c r="D59" s="3" t="s">
        <v>519</v>
      </c>
      <c r="E59" s="3" t="s">
        <v>110</v>
      </c>
      <c r="F59" s="3" t="s">
        <v>514</v>
      </c>
      <c r="G59" s="3" t="s">
        <v>509</v>
      </c>
      <c r="H59" s="3">
        <v>11026</v>
      </c>
      <c r="I59" s="3" t="s">
        <v>510</v>
      </c>
      <c r="J59" s="3">
        <v>0.36720000000000003</v>
      </c>
      <c r="K59" s="3">
        <v>0</v>
      </c>
      <c r="L59" s="3">
        <v>0</v>
      </c>
      <c r="M59" s="3">
        <v>4.0487000000000002</v>
      </c>
      <c r="N59" s="3">
        <v>0</v>
      </c>
      <c r="O59" s="3">
        <v>4.0487000000000002</v>
      </c>
      <c r="P59" s="3" t="s">
        <v>505</v>
      </c>
      <c r="Q59" s="3" t="s">
        <v>518</v>
      </c>
    </row>
    <row r="60" spans="1:17" x14ac:dyDescent="0.25">
      <c r="A60" s="2">
        <v>57</v>
      </c>
      <c r="B60" s="2">
        <v>2023</v>
      </c>
      <c r="C60" s="2" t="s">
        <v>22</v>
      </c>
      <c r="D60" s="2" t="s">
        <v>519</v>
      </c>
      <c r="E60" s="2" t="s">
        <v>92</v>
      </c>
      <c r="F60" s="2" t="s">
        <v>515</v>
      </c>
      <c r="G60" s="2" t="s">
        <v>516</v>
      </c>
      <c r="H60" s="2">
        <v>56365.7</v>
      </c>
      <c r="I60" s="2" t="s">
        <v>504</v>
      </c>
      <c r="J60" s="2">
        <v>0.46679999999999999</v>
      </c>
      <c r="K60" s="2">
        <v>5.88</v>
      </c>
      <c r="L60" s="2">
        <v>0.83340000000000003</v>
      </c>
      <c r="M60" s="2">
        <v>26.311499999999999</v>
      </c>
      <c r="N60" s="2">
        <v>2.7621000000000002</v>
      </c>
      <c r="O60" s="2">
        <v>29.073599999999999</v>
      </c>
      <c r="P60" s="2" t="s">
        <v>505</v>
      </c>
      <c r="Q60" s="2" t="s">
        <v>512</v>
      </c>
    </row>
    <row r="61" spans="1:17" x14ac:dyDescent="0.25">
      <c r="A61" s="3">
        <v>58</v>
      </c>
      <c r="B61" s="3">
        <v>2023</v>
      </c>
      <c r="C61" s="3" t="s">
        <v>32</v>
      </c>
      <c r="D61" s="3" t="s">
        <v>501</v>
      </c>
      <c r="E61" s="3" t="s">
        <v>204</v>
      </c>
      <c r="F61" s="3" t="s">
        <v>514</v>
      </c>
      <c r="G61" s="3" t="s">
        <v>509</v>
      </c>
      <c r="H61" s="3">
        <v>1153.7</v>
      </c>
      <c r="I61" s="3" t="s">
        <v>510</v>
      </c>
      <c r="J61" s="3">
        <v>0.36880000000000002</v>
      </c>
      <c r="K61" s="3">
        <v>0</v>
      </c>
      <c r="L61" s="3">
        <v>0</v>
      </c>
      <c r="M61" s="3">
        <v>0.42549999999999999</v>
      </c>
      <c r="N61" s="3">
        <v>0</v>
      </c>
      <c r="O61" s="3">
        <v>0.42549999999999999</v>
      </c>
      <c r="P61" s="3" t="s">
        <v>505</v>
      </c>
      <c r="Q61" s="3" t="s">
        <v>512</v>
      </c>
    </row>
    <row r="62" spans="1:17" x14ac:dyDescent="0.25">
      <c r="A62" s="2">
        <v>59</v>
      </c>
      <c r="B62" s="2">
        <v>2023</v>
      </c>
      <c r="C62" s="2" t="s">
        <v>39</v>
      </c>
      <c r="D62" s="2" t="s">
        <v>511</v>
      </c>
      <c r="E62" s="2" t="s">
        <v>88</v>
      </c>
      <c r="F62" s="2" t="s">
        <v>502</v>
      </c>
      <c r="G62" s="2" t="s">
        <v>503</v>
      </c>
      <c r="H62" s="2">
        <v>46360</v>
      </c>
      <c r="I62" s="2" t="s">
        <v>504</v>
      </c>
      <c r="J62" s="2">
        <v>0.3019</v>
      </c>
      <c r="K62" s="2">
        <v>0</v>
      </c>
      <c r="L62" s="2">
        <v>0</v>
      </c>
      <c r="M62" s="2">
        <v>13.9961</v>
      </c>
      <c r="N62" s="2">
        <v>0</v>
      </c>
      <c r="O62" s="2">
        <v>13.9961</v>
      </c>
      <c r="P62" s="2" t="s">
        <v>505</v>
      </c>
      <c r="Q62" s="2" t="s">
        <v>506</v>
      </c>
    </row>
    <row r="63" spans="1:17" x14ac:dyDescent="0.25">
      <c r="A63" s="3">
        <v>60</v>
      </c>
      <c r="B63" s="3">
        <v>2023</v>
      </c>
      <c r="C63" s="3" t="s">
        <v>46</v>
      </c>
      <c r="D63" s="3" t="s">
        <v>524</v>
      </c>
      <c r="E63" s="3" t="s">
        <v>24</v>
      </c>
      <c r="F63" s="3" t="s">
        <v>522</v>
      </c>
      <c r="G63" s="3" t="s">
        <v>523</v>
      </c>
      <c r="H63" s="3">
        <v>10544.5</v>
      </c>
      <c r="I63" s="3" t="s">
        <v>510</v>
      </c>
      <c r="J63" s="3">
        <v>4.24E-2</v>
      </c>
      <c r="K63" s="3">
        <v>0</v>
      </c>
      <c r="L63" s="3">
        <v>0</v>
      </c>
      <c r="M63" s="3">
        <v>0.4471</v>
      </c>
      <c r="N63" s="3">
        <v>0</v>
      </c>
      <c r="O63" s="3">
        <v>0.4471</v>
      </c>
      <c r="P63" s="3" t="s">
        <v>505</v>
      </c>
      <c r="Q63" s="3" t="s">
        <v>518</v>
      </c>
    </row>
    <row r="64" spans="1:17" x14ac:dyDescent="0.25">
      <c r="A64" s="2">
        <v>61</v>
      </c>
      <c r="B64" s="2">
        <v>2023</v>
      </c>
      <c r="C64" s="2" t="s">
        <v>22</v>
      </c>
      <c r="D64" s="2" t="s">
        <v>501</v>
      </c>
      <c r="E64" s="2" t="s">
        <v>139</v>
      </c>
      <c r="F64" s="2" t="s">
        <v>525</v>
      </c>
      <c r="G64" s="2" t="s">
        <v>509</v>
      </c>
      <c r="H64" s="2">
        <v>34898</v>
      </c>
      <c r="I64" s="2" t="s">
        <v>510</v>
      </c>
      <c r="J64" s="2">
        <v>0.68149999999999999</v>
      </c>
      <c r="K64" s="2">
        <v>0</v>
      </c>
      <c r="L64" s="2">
        <v>0</v>
      </c>
      <c r="M64" s="2">
        <v>23.783000000000001</v>
      </c>
      <c r="N64" s="2">
        <v>0</v>
      </c>
      <c r="O64" s="2">
        <v>23.783000000000001</v>
      </c>
      <c r="P64" s="2" t="s">
        <v>505</v>
      </c>
      <c r="Q64" s="2" t="s">
        <v>512</v>
      </c>
    </row>
    <row r="65" spans="1:17" x14ac:dyDescent="0.25">
      <c r="A65" s="3">
        <v>62</v>
      </c>
      <c r="B65" s="3">
        <v>2023</v>
      </c>
      <c r="C65" s="3" t="s">
        <v>32</v>
      </c>
      <c r="D65" s="3" t="s">
        <v>507</v>
      </c>
      <c r="E65" s="3" t="s">
        <v>88</v>
      </c>
      <c r="F65" s="3" t="s">
        <v>517</v>
      </c>
      <c r="G65" s="3" t="s">
        <v>509</v>
      </c>
      <c r="H65" s="3">
        <v>47668.6</v>
      </c>
      <c r="I65" s="3" t="s">
        <v>510</v>
      </c>
      <c r="J65" s="3">
        <v>0.54569999999999996</v>
      </c>
      <c r="K65" s="3">
        <v>0</v>
      </c>
      <c r="L65" s="3">
        <v>0</v>
      </c>
      <c r="M65" s="3">
        <v>26.012799999999999</v>
      </c>
      <c r="N65" s="3">
        <v>0</v>
      </c>
      <c r="O65" s="3">
        <v>26.012799999999999</v>
      </c>
      <c r="P65" s="3" t="s">
        <v>505</v>
      </c>
      <c r="Q65" s="3" t="s">
        <v>506</v>
      </c>
    </row>
    <row r="66" spans="1:17" x14ac:dyDescent="0.25">
      <c r="A66" s="2">
        <v>63</v>
      </c>
      <c r="B66" s="2">
        <v>2023</v>
      </c>
      <c r="C66" s="2" t="s">
        <v>39</v>
      </c>
      <c r="D66" s="2" t="s">
        <v>513</v>
      </c>
      <c r="E66" s="2" t="s">
        <v>54</v>
      </c>
      <c r="F66" s="2" t="s">
        <v>508</v>
      </c>
      <c r="G66" s="2" t="s">
        <v>509</v>
      </c>
      <c r="H66" s="2">
        <v>4563.8</v>
      </c>
      <c r="I66" s="2" t="s">
        <v>510</v>
      </c>
      <c r="J66" s="2">
        <v>0.27660000000000001</v>
      </c>
      <c r="K66" s="2">
        <v>0</v>
      </c>
      <c r="L66" s="2">
        <v>0</v>
      </c>
      <c r="M66" s="2">
        <v>1.2623</v>
      </c>
      <c r="N66" s="2">
        <v>0</v>
      </c>
      <c r="O66" s="2">
        <v>1.2623</v>
      </c>
      <c r="P66" s="2" t="s">
        <v>505</v>
      </c>
      <c r="Q66" s="2" t="s">
        <v>512</v>
      </c>
    </row>
    <row r="67" spans="1:17" x14ac:dyDescent="0.25">
      <c r="A67" s="3">
        <v>64</v>
      </c>
      <c r="B67" s="3">
        <v>2023</v>
      </c>
      <c r="C67" s="3" t="s">
        <v>46</v>
      </c>
      <c r="D67" s="3" t="s">
        <v>501</v>
      </c>
      <c r="E67" s="3" t="s">
        <v>139</v>
      </c>
      <c r="F67" s="3" t="s">
        <v>514</v>
      </c>
      <c r="G67" s="3" t="s">
        <v>509</v>
      </c>
      <c r="H67" s="3">
        <v>67746.2</v>
      </c>
      <c r="I67" s="3" t="s">
        <v>510</v>
      </c>
      <c r="J67" s="3">
        <v>0.35470000000000002</v>
      </c>
      <c r="K67" s="3">
        <v>0</v>
      </c>
      <c r="L67" s="3">
        <v>0</v>
      </c>
      <c r="M67" s="3">
        <v>24.029599999999999</v>
      </c>
      <c r="N67" s="3">
        <v>0</v>
      </c>
      <c r="O67" s="3">
        <v>24.029599999999999</v>
      </c>
      <c r="P67" s="3" t="s">
        <v>505</v>
      </c>
      <c r="Q67" s="3" t="s">
        <v>506</v>
      </c>
    </row>
    <row r="68" spans="1:17" x14ac:dyDescent="0.25">
      <c r="A68" s="2">
        <v>65</v>
      </c>
      <c r="B68" s="2">
        <v>2023</v>
      </c>
      <c r="C68" s="2" t="s">
        <v>22</v>
      </c>
      <c r="D68" s="2" t="s">
        <v>507</v>
      </c>
      <c r="E68" s="2" t="s">
        <v>65</v>
      </c>
      <c r="F68" s="2" t="s">
        <v>525</v>
      </c>
      <c r="G68" s="2" t="s">
        <v>509</v>
      </c>
      <c r="H68" s="2">
        <v>33165.9</v>
      </c>
      <c r="I68" s="2" t="s">
        <v>510</v>
      </c>
      <c r="J68" s="2">
        <v>0.69399999999999995</v>
      </c>
      <c r="K68" s="2">
        <v>0</v>
      </c>
      <c r="L68" s="2">
        <v>0</v>
      </c>
      <c r="M68" s="2">
        <v>23.017099999999999</v>
      </c>
      <c r="N68" s="2">
        <v>0</v>
      </c>
      <c r="O68" s="2">
        <v>23.017099999999999</v>
      </c>
      <c r="P68" s="2" t="s">
        <v>505</v>
      </c>
      <c r="Q68" s="2" t="s">
        <v>512</v>
      </c>
    </row>
    <row r="69" spans="1:17" x14ac:dyDescent="0.25">
      <c r="A69" s="3">
        <v>66</v>
      </c>
      <c r="B69" s="3">
        <v>2023</v>
      </c>
      <c r="C69" s="3" t="s">
        <v>32</v>
      </c>
      <c r="D69" s="3" t="s">
        <v>526</v>
      </c>
      <c r="E69" s="3" t="s">
        <v>120</v>
      </c>
      <c r="F69" s="3" t="s">
        <v>525</v>
      </c>
      <c r="G69" s="3" t="s">
        <v>509</v>
      </c>
      <c r="H69" s="3">
        <v>18720.099999999999</v>
      </c>
      <c r="I69" s="3" t="s">
        <v>510</v>
      </c>
      <c r="J69" s="3">
        <v>0.72860000000000003</v>
      </c>
      <c r="K69" s="3">
        <v>0</v>
      </c>
      <c r="L69" s="3">
        <v>0</v>
      </c>
      <c r="M69" s="3">
        <v>13.6395</v>
      </c>
      <c r="N69" s="3">
        <v>0</v>
      </c>
      <c r="O69" s="3">
        <v>13.6395</v>
      </c>
      <c r="P69" s="3" t="s">
        <v>505</v>
      </c>
      <c r="Q69" s="3" t="s">
        <v>518</v>
      </c>
    </row>
    <row r="70" spans="1:17" x14ac:dyDescent="0.25">
      <c r="A70" s="2">
        <v>67</v>
      </c>
      <c r="B70" s="2">
        <v>2023</v>
      </c>
      <c r="C70" s="2" t="s">
        <v>39</v>
      </c>
      <c r="D70" s="2" t="s">
        <v>513</v>
      </c>
      <c r="E70" s="2" t="s">
        <v>96</v>
      </c>
      <c r="F70" s="2" t="s">
        <v>520</v>
      </c>
      <c r="G70" s="2" t="s">
        <v>509</v>
      </c>
      <c r="H70" s="2">
        <v>45012.5</v>
      </c>
      <c r="I70" s="2" t="s">
        <v>510</v>
      </c>
      <c r="J70" s="2">
        <v>0.41439999999999999</v>
      </c>
      <c r="K70" s="2">
        <v>0</v>
      </c>
      <c r="L70" s="2">
        <v>0</v>
      </c>
      <c r="M70" s="2">
        <v>18.653199999999998</v>
      </c>
      <c r="N70" s="2">
        <v>0</v>
      </c>
      <c r="O70" s="2">
        <v>18.653199999999998</v>
      </c>
      <c r="P70" s="2" t="s">
        <v>505</v>
      </c>
      <c r="Q70" s="2" t="s">
        <v>506</v>
      </c>
    </row>
    <row r="71" spans="1:17" x14ac:dyDescent="0.25">
      <c r="A71" s="3">
        <v>68</v>
      </c>
      <c r="B71" s="3">
        <v>2023</v>
      </c>
      <c r="C71" s="3" t="s">
        <v>46</v>
      </c>
      <c r="D71" s="3" t="s">
        <v>524</v>
      </c>
      <c r="E71" s="3" t="s">
        <v>58</v>
      </c>
      <c r="F71" s="3" t="s">
        <v>520</v>
      </c>
      <c r="G71" s="3" t="s">
        <v>509</v>
      </c>
      <c r="H71" s="3">
        <v>27906.6</v>
      </c>
      <c r="I71" s="3" t="s">
        <v>510</v>
      </c>
      <c r="J71" s="3">
        <v>0.4556</v>
      </c>
      <c r="K71" s="3">
        <v>0</v>
      </c>
      <c r="L71" s="3">
        <v>0</v>
      </c>
      <c r="M71" s="3">
        <v>12.7142</v>
      </c>
      <c r="N71" s="3">
        <v>0</v>
      </c>
      <c r="O71" s="3">
        <v>12.7142</v>
      </c>
      <c r="P71" s="3" t="s">
        <v>505</v>
      </c>
      <c r="Q71" s="3" t="s">
        <v>506</v>
      </c>
    </row>
    <row r="72" spans="1:17" x14ac:dyDescent="0.25">
      <c r="A72" s="2">
        <v>69</v>
      </c>
      <c r="B72" s="2">
        <v>2023</v>
      </c>
      <c r="C72" s="2" t="s">
        <v>22</v>
      </c>
      <c r="D72" s="2" t="s">
        <v>524</v>
      </c>
      <c r="E72" s="2" t="s">
        <v>117</v>
      </c>
      <c r="F72" s="2" t="s">
        <v>525</v>
      </c>
      <c r="G72" s="2" t="s">
        <v>509</v>
      </c>
      <c r="H72" s="2">
        <v>36642.699999999997</v>
      </c>
      <c r="I72" s="2" t="s">
        <v>510</v>
      </c>
      <c r="J72" s="2">
        <v>0.65959999999999996</v>
      </c>
      <c r="K72" s="2">
        <v>0</v>
      </c>
      <c r="L72" s="2">
        <v>0</v>
      </c>
      <c r="M72" s="2">
        <v>24.169499999999999</v>
      </c>
      <c r="N72" s="2">
        <v>0</v>
      </c>
      <c r="O72" s="2">
        <v>24.169499999999999</v>
      </c>
      <c r="P72" s="2" t="s">
        <v>505</v>
      </c>
      <c r="Q72" s="2" t="s">
        <v>518</v>
      </c>
    </row>
    <row r="73" spans="1:17" x14ac:dyDescent="0.25">
      <c r="A73" s="3">
        <v>70</v>
      </c>
      <c r="B73" s="3">
        <v>2023</v>
      </c>
      <c r="C73" s="3" t="s">
        <v>32</v>
      </c>
      <c r="D73" s="3" t="s">
        <v>526</v>
      </c>
      <c r="E73" s="3" t="s">
        <v>58</v>
      </c>
      <c r="F73" s="3" t="s">
        <v>522</v>
      </c>
      <c r="G73" s="3" t="s">
        <v>523</v>
      </c>
      <c r="H73" s="3">
        <v>52818.7</v>
      </c>
      <c r="I73" s="3" t="s">
        <v>510</v>
      </c>
      <c r="J73" s="3">
        <v>7.5899999999999995E-2</v>
      </c>
      <c r="K73" s="3">
        <v>0</v>
      </c>
      <c r="L73" s="3">
        <v>0</v>
      </c>
      <c r="M73" s="3">
        <v>4.0088999999999997</v>
      </c>
      <c r="N73" s="3">
        <v>0</v>
      </c>
      <c r="O73" s="3">
        <v>4.0088999999999997</v>
      </c>
      <c r="P73" s="3" t="s">
        <v>505</v>
      </c>
      <c r="Q73" s="3" t="s">
        <v>512</v>
      </c>
    </row>
    <row r="74" spans="1:17" x14ac:dyDescent="0.25">
      <c r="A74" s="2">
        <v>71</v>
      </c>
      <c r="B74" s="2">
        <v>2023</v>
      </c>
      <c r="C74" s="2" t="s">
        <v>39</v>
      </c>
      <c r="D74" s="2" t="s">
        <v>511</v>
      </c>
      <c r="E74" s="2" t="s">
        <v>54</v>
      </c>
      <c r="F74" s="2" t="s">
        <v>514</v>
      </c>
      <c r="G74" s="2" t="s">
        <v>509</v>
      </c>
      <c r="H74" s="2">
        <v>34857.699999999997</v>
      </c>
      <c r="I74" s="2" t="s">
        <v>510</v>
      </c>
      <c r="J74" s="2">
        <v>0.45679999999999998</v>
      </c>
      <c r="K74" s="2">
        <v>0</v>
      </c>
      <c r="L74" s="2">
        <v>0</v>
      </c>
      <c r="M74" s="2">
        <v>15.923</v>
      </c>
      <c r="N74" s="2">
        <v>0</v>
      </c>
      <c r="O74" s="2">
        <v>15.923</v>
      </c>
      <c r="P74" s="2" t="s">
        <v>505</v>
      </c>
      <c r="Q74" s="2" t="s">
        <v>518</v>
      </c>
    </row>
    <row r="75" spans="1:17" x14ac:dyDescent="0.25">
      <c r="A75" s="3">
        <v>72</v>
      </c>
      <c r="B75" s="3">
        <v>2023</v>
      </c>
      <c r="C75" s="3" t="s">
        <v>46</v>
      </c>
      <c r="D75" s="3" t="s">
        <v>511</v>
      </c>
      <c r="E75" s="3" t="s">
        <v>88</v>
      </c>
      <c r="F75" s="3" t="s">
        <v>508</v>
      </c>
      <c r="G75" s="3" t="s">
        <v>509</v>
      </c>
      <c r="H75" s="3">
        <v>91876.4</v>
      </c>
      <c r="I75" s="3" t="s">
        <v>510</v>
      </c>
      <c r="J75" s="3">
        <v>0.25850000000000001</v>
      </c>
      <c r="K75" s="3">
        <v>0</v>
      </c>
      <c r="L75" s="3">
        <v>0</v>
      </c>
      <c r="M75" s="3">
        <v>23.75</v>
      </c>
      <c r="N75" s="3">
        <v>0</v>
      </c>
      <c r="O75" s="3">
        <v>23.75</v>
      </c>
      <c r="P75" s="3" t="s">
        <v>505</v>
      </c>
      <c r="Q75" s="3" t="s">
        <v>506</v>
      </c>
    </row>
    <row r="76" spans="1:17" x14ac:dyDescent="0.25">
      <c r="A76" s="2">
        <v>73</v>
      </c>
      <c r="B76" s="2">
        <v>2023</v>
      </c>
      <c r="C76" s="2" t="s">
        <v>22</v>
      </c>
      <c r="D76" s="2" t="s">
        <v>511</v>
      </c>
      <c r="E76" s="2" t="s">
        <v>139</v>
      </c>
      <c r="F76" s="2" t="s">
        <v>520</v>
      </c>
      <c r="G76" s="2" t="s">
        <v>509</v>
      </c>
      <c r="H76" s="2">
        <v>30607.5</v>
      </c>
      <c r="I76" s="2" t="s">
        <v>510</v>
      </c>
      <c r="J76" s="2">
        <v>0.3775</v>
      </c>
      <c r="K76" s="2">
        <v>0</v>
      </c>
      <c r="L76" s="2">
        <v>0</v>
      </c>
      <c r="M76" s="2">
        <v>11.5543</v>
      </c>
      <c r="N76" s="2">
        <v>0</v>
      </c>
      <c r="O76" s="2">
        <v>11.5543</v>
      </c>
      <c r="P76" s="2" t="s">
        <v>505</v>
      </c>
      <c r="Q76" s="2" t="s">
        <v>512</v>
      </c>
    </row>
    <row r="77" spans="1:17" x14ac:dyDescent="0.25">
      <c r="A77" s="3">
        <v>74</v>
      </c>
      <c r="B77" s="3">
        <v>2023</v>
      </c>
      <c r="C77" s="3" t="s">
        <v>32</v>
      </c>
      <c r="D77" s="3" t="s">
        <v>526</v>
      </c>
      <c r="E77" s="3" t="s">
        <v>110</v>
      </c>
      <c r="F77" s="3" t="s">
        <v>502</v>
      </c>
      <c r="G77" s="3" t="s">
        <v>503</v>
      </c>
      <c r="H77" s="3">
        <v>59682.9</v>
      </c>
      <c r="I77" s="3" t="s">
        <v>504</v>
      </c>
      <c r="J77" s="3">
        <v>0.28620000000000001</v>
      </c>
      <c r="K77" s="3">
        <v>0</v>
      </c>
      <c r="L77" s="3">
        <v>0</v>
      </c>
      <c r="M77" s="3">
        <v>17.081199999999999</v>
      </c>
      <c r="N77" s="3">
        <v>0</v>
      </c>
      <c r="O77" s="3">
        <v>17.081199999999999</v>
      </c>
      <c r="P77" s="3" t="s">
        <v>505</v>
      </c>
      <c r="Q77" s="3" t="s">
        <v>512</v>
      </c>
    </row>
    <row r="78" spans="1:17" x14ac:dyDescent="0.25">
      <c r="A78" s="2">
        <v>75</v>
      </c>
      <c r="B78" s="2">
        <v>2023</v>
      </c>
      <c r="C78" s="2" t="s">
        <v>39</v>
      </c>
      <c r="D78" s="2" t="s">
        <v>511</v>
      </c>
      <c r="E78" s="2" t="s">
        <v>110</v>
      </c>
      <c r="F78" s="2" t="s">
        <v>525</v>
      </c>
      <c r="G78" s="2" t="s">
        <v>509</v>
      </c>
      <c r="H78" s="2">
        <v>55535.8</v>
      </c>
      <c r="I78" s="2" t="s">
        <v>510</v>
      </c>
      <c r="J78" s="2">
        <v>0.70340000000000003</v>
      </c>
      <c r="K78" s="2">
        <v>0</v>
      </c>
      <c r="L78" s="2">
        <v>0</v>
      </c>
      <c r="M78" s="2">
        <v>39.063899999999997</v>
      </c>
      <c r="N78" s="2">
        <v>0</v>
      </c>
      <c r="O78" s="2">
        <v>39.063899999999997</v>
      </c>
      <c r="P78" s="2" t="s">
        <v>505</v>
      </c>
      <c r="Q78" s="2" t="s">
        <v>512</v>
      </c>
    </row>
    <row r="79" spans="1:17" x14ac:dyDescent="0.25">
      <c r="A79" s="3">
        <v>76</v>
      </c>
      <c r="B79" s="3">
        <v>2023</v>
      </c>
      <c r="C79" s="3" t="s">
        <v>46</v>
      </c>
      <c r="D79" s="3" t="s">
        <v>513</v>
      </c>
      <c r="E79" s="3" t="s">
        <v>204</v>
      </c>
      <c r="F79" s="3" t="s">
        <v>522</v>
      </c>
      <c r="G79" s="3" t="s">
        <v>523</v>
      </c>
      <c r="H79" s="3">
        <v>61979.1</v>
      </c>
      <c r="I79" s="3" t="s">
        <v>510</v>
      </c>
      <c r="J79" s="3">
        <v>0.10979999999999999</v>
      </c>
      <c r="K79" s="3">
        <v>0</v>
      </c>
      <c r="L79" s="3">
        <v>0</v>
      </c>
      <c r="M79" s="3">
        <v>6.8052999999999999</v>
      </c>
      <c r="N79" s="3">
        <v>0</v>
      </c>
      <c r="O79" s="3">
        <v>6.8052999999999999</v>
      </c>
      <c r="P79" s="3" t="s">
        <v>505</v>
      </c>
      <c r="Q79" s="3" t="s">
        <v>506</v>
      </c>
    </row>
    <row r="80" spans="1:17" x14ac:dyDescent="0.25">
      <c r="A80" s="2">
        <v>77</v>
      </c>
      <c r="B80" s="2">
        <v>2023</v>
      </c>
      <c r="C80" s="2" t="s">
        <v>22</v>
      </c>
      <c r="D80" s="2" t="s">
        <v>507</v>
      </c>
      <c r="E80" s="2" t="s">
        <v>33</v>
      </c>
      <c r="F80" s="2" t="s">
        <v>520</v>
      </c>
      <c r="G80" s="2" t="s">
        <v>509</v>
      </c>
      <c r="H80" s="2">
        <v>81540.100000000006</v>
      </c>
      <c r="I80" s="2" t="s">
        <v>510</v>
      </c>
      <c r="J80" s="2">
        <v>0.49459999999999998</v>
      </c>
      <c r="K80" s="2">
        <v>0</v>
      </c>
      <c r="L80" s="2">
        <v>0</v>
      </c>
      <c r="M80" s="2">
        <v>40.329700000000003</v>
      </c>
      <c r="N80" s="2">
        <v>0</v>
      </c>
      <c r="O80" s="2">
        <v>40.329700000000003</v>
      </c>
      <c r="P80" s="2" t="s">
        <v>505</v>
      </c>
      <c r="Q80" s="2" t="s">
        <v>518</v>
      </c>
    </row>
    <row r="81" spans="1:17" x14ac:dyDescent="0.25">
      <c r="A81" s="3">
        <v>78</v>
      </c>
      <c r="B81" s="3">
        <v>2023</v>
      </c>
      <c r="C81" s="3" t="s">
        <v>32</v>
      </c>
      <c r="D81" s="3" t="s">
        <v>507</v>
      </c>
      <c r="E81" s="3" t="s">
        <v>110</v>
      </c>
      <c r="F81" s="3" t="s">
        <v>522</v>
      </c>
      <c r="G81" s="3" t="s">
        <v>523</v>
      </c>
      <c r="H81" s="3">
        <v>41621.5</v>
      </c>
      <c r="I81" s="3" t="s">
        <v>510</v>
      </c>
      <c r="J81" s="3">
        <v>0.106</v>
      </c>
      <c r="K81" s="3">
        <v>0</v>
      </c>
      <c r="L81" s="3">
        <v>0</v>
      </c>
      <c r="M81" s="3">
        <v>4.4119000000000002</v>
      </c>
      <c r="N81" s="3">
        <v>0</v>
      </c>
      <c r="O81" s="3">
        <v>4.4119000000000002</v>
      </c>
      <c r="P81" s="3" t="s">
        <v>505</v>
      </c>
      <c r="Q81" s="3" t="s">
        <v>506</v>
      </c>
    </row>
    <row r="82" spans="1:17" x14ac:dyDescent="0.25">
      <c r="A82" s="2">
        <v>79</v>
      </c>
      <c r="B82" s="2">
        <v>2023</v>
      </c>
      <c r="C82" s="2" t="s">
        <v>39</v>
      </c>
      <c r="D82" s="2" t="s">
        <v>521</v>
      </c>
      <c r="E82" s="2" t="s">
        <v>110</v>
      </c>
      <c r="F82" s="2" t="s">
        <v>515</v>
      </c>
      <c r="G82" s="2" t="s">
        <v>516</v>
      </c>
      <c r="H82" s="2">
        <v>79608.5</v>
      </c>
      <c r="I82" s="2" t="s">
        <v>504</v>
      </c>
      <c r="J82" s="2">
        <v>0.40310000000000001</v>
      </c>
      <c r="K82" s="2">
        <v>2.2000000000000002</v>
      </c>
      <c r="L82" s="2">
        <v>0.46239999999999998</v>
      </c>
      <c r="M82" s="2">
        <v>32.090200000000003</v>
      </c>
      <c r="N82" s="2">
        <v>0.80979999999999996</v>
      </c>
      <c r="O82" s="2">
        <v>32.9</v>
      </c>
      <c r="P82" s="2" t="s">
        <v>505</v>
      </c>
      <c r="Q82" s="2" t="s">
        <v>512</v>
      </c>
    </row>
    <row r="83" spans="1:17" x14ac:dyDescent="0.25">
      <c r="A83" s="3">
        <v>80</v>
      </c>
      <c r="B83" s="3">
        <v>2023</v>
      </c>
      <c r="C83" s="3" t="s">
        <v>46</v>
      </c>
      <c r="D83" s="3" t="s">
        <v>524</v>
      </c>
      <c r="E83" s="3" t="s">
        <v>117</v>
      </c>
      <c r="F83" s="3" t="s">
        <v>522</v>
      </c>
      <c r="G83" s="3" t="s">
        <v>523</v>
      </c>
      <c r="H83" s="3">
        <v>55017.599999999999</v>
      </c>
      <c r="I83" s="3" t="s">
        <v>510</v>
      </c>
      <c r="J83" s="3">
        <v>-3.0000000000000001E-3</v>
      </c>
      <c r="K83" s="3">
        <v>0</v>
      </c>
      <c r="L83" s="3">
        <v>0</v>
      </c>
      <c r="M83" s="3">
        <v>-0.1651</v>
      </c>
      <c r="N83" s="3">
        <v>0</v>
      </c>
      <c r="O83" s="3">
        <v>-0.1651</v>
      </c>
      <c r="P83" s="3" t="s">
        <v>505</v>
      </c>
      <c r="Q83" s="3" t="s">
        <v>518</v>
      </c>
    </row>
    <row r="84" spans="1:17" x14ac:dyDescent="0.25">
      <c r="A84" s="2">
        <v>81</v>
      </c>
      <c r="B84" s="2">
        <v>2023</v>
      </c>
      <c r="C84" s="2" t="s">
        <v>22</v>
      </c>
      <c r="D84" s="2" t="s">
        <v>507</v>
      </c>
      <c r="E84" s="2" t="s">
        <v>139</v>
      </c>
      <c r="F84" s="2" t="s">
        <v>517</v>
      </c>
      <c r="G84" s="2" t="s">
        <v>509</v>
      </c>
      <c r="H84" s="2">
        <v>54250.1</v>
      </c>
      <c r="I84" s="2" t="s">
        <v>510</v>
      </c>
      <c r="J84" s="2">
        <v>0.59350000000000003</v>
      </c>
      <c r="K84" s="2">
        <v>0</v>
      </c>
      <c r="L84" s="2">
        <v>0</v>
      </c>
      <c r="M84" s="2">
        <v>32.197400000000002</v>
      </c>
      <c r="N84" s="2">
        <v>0</v>
      </c>
      <c r="O84" s="2">
        <v>32.197400000000002</v>
      </c>
      <c r="P84" s="2" t="s">
        <v>505</v>
      </c>
      <c r="Q84" s="2" t="s">
        <v>506</v>
      </c>
    </row>
    <row r="85" spans="1:17" x14ac:dyDescent="0.25">
      <c r="A85" s="3">
        <v>82</v>
      </c>
      <c r="B85" s="3">
        <v>2023</v>
      </c>
      <c r="C85" s="3" t="s">
        <v>32</v>
      </c>
      <c r="D85" s="3" t="s">
        <v>501</v>
      </c>
      <c r="E85" s="3" t="s">
        <v>117</v>
      </c>
      <c r="F85" s="3" t="s">
        <v>502</v>
      </c>
      <c r="G85" s="3" t="s">
        <v>503</v>
      </c>
      <c r="H85" s="3">
        <v>10331.4</v>
      </c>
      <c r="I85" s="3" t="s">
        <v>504</v>
      </c>
      <c r="J85" s="3">
        <v>0.32450000000000001</v>
      </c>
      <c r="K85" s="3">
        <v>0</v>
      </c>
      <c r="L85" s="3">
        <v>0</v>
      </c>
      <c r="M85" s="3">
        <v>3.3525</v>
      </c>
      <c r="N85" s="3">
        <v>0</v>
      </c>
      <c r="O85" s="3">
        <v>3.3525</v>
      </c>
      <c r="P85" s="3" t="s">
        <v>505</v>
      </c>
      <c r="Q85" s="3" t="s">
        <v>506</v>
      </c>
    </row>
    <row r="86" spans="1:17" x14ac:dyDescent="0.25">
      <c r="A86" s="2">
        <v>83</v>
      </c>
      <c r="B86" s="2">
        <v>2023</v>
      </c>
      <c r="C86" s="2" t="s">
        <v>39</v>
      </c>
      <c r="D86" s="2" t="s">
        <v>524</v>
      </c>
      <c r="E86" s="2" t="s">
        <v>204</v>
      </c>
      <c r="F86" s="2" t="s">
        <v>522</v>
      </c>
      <c r="G86" s="2" t="s">
        <v>523</v>
      </c>
      <c r="H86" s="2">
        <v>26355.200000000001</v>
      </c>
      <c r="I86" s="2" t="s">
        <v>510</v>
      </c>
      <c r="J86" s="2">
        <v>0.10929999999999999</v>
      </c>
      <c r="K86" s="2">
        <v>0</v>
      </c>
      <c r="L86" s="2">
        <v>0</v>
      </c>
      <c r="M86" s="2">
        <v>2.8805999999999998</v>
      </c>
      <c r="N86" s="2">
        <v>0</v>
      </c>
      <c r="O86" s="2">
        <v>2.8805999999999998</v>
      </c>
      <c r="P86" s="2" t="s">
        <v>505</v>
      </c>
      <c r="Q86" s="2" t="s">
        <v>506</v>
      </c>
    </row>
    <row r="87" spans="1:17" x14ac:dyDescent="0.25">
      <c r="A87" s="3">
        <v>84</v>
      </c>
      <c r="B87" s="3">
        <v>2023</v>
      </c>
      <c r="C87" s="3" t="s">
        <v>46</v>
      </c>
      <c r="D87" s="3" t="s">
        <v>519</v>
      </c>
      <c r="E87" s="3" t="s">
        <v>54</v>
      </c>
      <c r="F87" s="3" t="s">
        <v>520</v>
      </c>
      <c r="G87" s="3" t="s">
        <v>509</v>
      </c>
      <c r="H87" s="3">
        <v>21066.799999999999</v>
      </c>
      <c r="I87" s="3" t="s">
        <v>510</v>
      </c>
      <c r="J87" s="3">
        <v>0.46060000000000001</v>
      </c>
      <c r="K87" s="3">
        <v>0</v>
      </c>
      <c r="L87" s="3">
        <v>0</v>
      </c>
      <c r="M87" s="3">
        <v>9.7034000000000002</v>
      </c>
      <c r="N87" s="3">
        <v>0</v>
      </c>
      <c r="O87" s="3">
        <v>9.7034000000000002</v>
      </c>
      <c r="P87" s="3" t="s">
        <v>505</v>
      </c>
      <c r="Q87" s="3" t="s">
        <v>518</v>
      </c>
    </row>
    <row r="88" spans="1:17" x14ac:dyDescent="0.25">
      <c r="A88" s="2">
        <v>85</v>
      </c>
      <c r="B88" s="2">
        <v>2023</v>
      </c>
      <c r="C88" s="2" t="s">
        <v>22</v>
      </c>
      <c r="D88" s="2" t="s">
        <v>501</v>
      </c>
      <c r="E88" s="2" t="s">
        <v>54</v>
      </c>
      <c r="F88" s="2" t="s">
        <v>502</v>
      </c>
      <c r="G88" s="2" t="s">
        <v>503</v>
      </c>
      <c r="H88" s="2">
        <v>16681.599999999999</v>
      </c>
      <c r="I88" s="2" t="s">
        <v>504</v>
      </c>
      <c r="J88" s="2">
        <v>0.22090000000000001</v>
      </c>
      <c r="K88" s="2">
        <v>0</v>
      </c>
      <c r="L88" s="2">
        <v>0</v>
      </c>
      <c r="M88" s="2">
        <v>3.6850000000000001</v>
      </c>
      <c r="N88" s="2">
        <v>0</v>
      </c>
      <c r="O88" s="2">
        <v>3.6850000000000001</v>
      </c>
      <c r="P88" s="2" t="s">
        <v>505</v>
      </c>
      <c r="Q88" s="2" t="s">
        <v>506</v>
      </c>
    </row>
    <row r="89" spans="1:17" x14ac:dyDescent="0.25">
      <c r="A89" s="3">
        <v>86</v>
      </c>
      <c r="B89" s="3">
        <v>2023</v>
      </c>
      <c r="C89" s="3" t="s">
        <v>32</v>
      </c>
      <c r="D89" s="3" t="s">
        <v>521</v>
      </c>
      <c r="E89" s="3" t="s">
        <v>117</v>
      </c>
      <c r="F89" s="3" t="s">
        <v>515</v>
      </c>
      <c r="G89" s="3" t="s">
        <v>516</v>
      </c>
      <c r="H89" s="3">
        <v>57050.400000000001</v>
      </c>
      <c r="I89" s="3" t="s">
        <v>504</v>
      </c>
      <c r="J89" s="3">
        <v>0.44979999999999998</v>
      </c>
      <c r="K89" s="3">
        <v>5.58</v>
      </c>
      <c r="L89" s="3">
        <v>0.43419999999999997</v>
      </c>
      <c r="M89" s="3">
        <v>25.661300000000001</v>
      </c>
      <c r="N89" s="3">
        <v>1.3822000000000001</v>
      </c>
      <c r="O89" s="3">
        <v>27.043500000000002</v>
      </c>
      <c r="P89" s="3" t="s">
        <v>505</v>
      </c>
      <c r="Q89" s="3" t="s">
        <v>518</v>
      </c>
    </row>
    <row r="90" spans="1:17" x14ac:dyDescent="0.25">
      <c r="A90" s="2">
        <v>87</v>
      </c>
      <c r="B90" s="2">
        <v>2023</v>
      </c>
      <c r="C90" s="2" t="s">
        <v>39</v>
      </c>
      <c r="D90" s="2" t="s">
        <v>524</v>
      </c>
      <c r="E90" s="2" t="s">
        <v>110</v>
      </c>
      <c r="F90" s="2" t="s">
        <v>508</v>
      </c>
      <c r="G90" s="2" t="s">
        <v>509</v>
      </c>
      <c r="H90" s="2">
        <v>95244.5</v>
      </c>
      <c r="I90" s="2" t="s">
        <v>510</v>
      </c>
      <c r="J90" s="2">
        <v>0.2472</v>
      </c>
      <c r="K90" s="2">
        <v>0</v>
      </c>
      <c r="L90" s="2">
        <v>0</v>
      </c>
      <c r="M90" s="2">
        <v>23.5444</v>
      </c>
      <c r="N90" s="2">
        <v>0</v>
      </c>
      <c r="O90" s="2">
        <v>23.5444</v>
      </c>
      <c r="P90" s="2" t="s">
        <v>505</v>
      </c>
      <c r="Q90" s="2" t="s">
        <v>512</v>
      </c>
    </row>
    <row r="91" spans="1:17" x14ac:dyDescent="0.25">
      <c r="A91" s="3">
        <v>88</v>
      </c>
      <c r="B91" s="3">
        <v>2023</v>
      </c>
      <c r="C91" s="3" t="s">
        <v>46</v>
      </c>
      <c r="D91" s="3" t="s">
        <v>501</v>
      </c>
      <c r="E91" s="3" t="s">
        <v>110</v>
      </c>
      <c r="F91" s="3" t="s">
        <v>515</v>
      </c>
      <c r="G91" s="3" t="s">
        <v>516</v>
      </c>
      <c r="H91" s="3">
        <v>99249.4</v>
      </c>
      <c r="I91" s="3" t="s">
        <v>504</v>
      </c>
      <c r="J91" s="3">
        <v>0.50009999999999999</v>
      </c>
      <c r="K91" s="3">
        <v>2.76</v>
      </c>
      <c r="L91" s="3">
        <v>0.78300000000000003</v>
      </c>
      <c r="M91" s="3">
        <v>49.634599999999999</v>
      </c>
      <c r="N91" s="3">
        <v>2.1448999999999998</v>
      </c>
      <c r="O91" s="3">
        <v>51.779499999999999</v>
      </c>
      <c r="P91" s="3" t="s">
        <v>505</v>
      </c>
      <c r="Q91" s="3" t="s">
        <v>518</v>
      </c>
    </row>
    <row r="92" spans="1:17" x14ac:dyDescent="0.25">
      <c r="A92" s="2">
        <v>89</v>
      </c>
      <c r="B92" s="2">
        <v>2023</v>
      </c>
      <c r="C92" s="2" t="s">
        <v>22</v>
      </c>
      <c r="D92" s="2" t="s">
        <v>526</v>
      </c>
      <c r="E92" s="2" t="s">
        <v>204</v>
      </c>
      <c r="F92" s="2" t="s">
        <v>517</v>
      </c>
      <c r="G92" s="2" t="s">
        <v>509</v>
      </c>
      <c r="H92" s="2">
        <v>82865.3</v>
      </c>
      <c r="I92" s="2" t="s">
        <v>510</v>
      </c>
      <c r="J92" s="2">
        <v>0.59419999999999995</v>
      </c>
      <c r="K92" s="2">
        <v>0</v>
      </c>
      <c r="L92" s="2">
        <v>0</v>
      </c>
      <c r="M92" s="2">
        <v>49.238599999999998</v>
      </c>
      <c r="N92" s="2">
        <v>0</v>
      </c>
      <c r="O92" s="2">
        <v>49.238599999999998</v>
      </c>
      <c r="P92" s="2" t="s">
        <v>505</v>
      </c>
      <c r="Q92" s="2" t="s">
        <v>506</v>
      </c>
    </row>
    <row r="93" spans="1:17" x14ac:dyDescent="0.25">
      <c r="A93" s="3">
        <v>90</v>
      </c>
      <c r="B93" s="3">
        <v>2023</v>
      </c>
      <c r="C93" s="3" t="s">
        <v>32</v>
      </c>
      <c r="D93" s="3" t="s">
        <v>524</v>
      </c>
      <c r="E93" s="3" t="s">
        <v>154</v>
      </c>
      <c r="F93" s="3" t="s">
        <v>508</v>
      </c>
      <c r="G93" s="3" t="s">
        <v>509</v>
      </c>
      <c r="H93" s="3">
        <v>62818.5</v>
      </c>
      <c r="I93" s="3" t="s">
        <v>510</v>
      </c>
      <c r="J93" s="3">
        <v>0.2263</v>
      </c>
      <c r="K93" s="3">
        <v>0</v>
      </c>
      <c r="L93" s="3">
        <v>0</v>
      </c>
      <c r="M93" s="3">
        <v>14.2158</v>
      </c>
      <c r="N93" s="3">
        <v>0</v>
      </c>
      <c r="O93" s="3">
        <v>14.2158</v>
      </c>
      <c r="P93" s="3" t="s">
        <v>505</v>
      </c>
      <c r="Q93" s="3" t="s">
        <v>506</v>
      </c>
    </row>
    <row r="94" spans="1:17" x14ac:dyDescent="0.25">
      <c r="A94" s="2">
        <v>91</v>
      </c>
      <c r="B94" s="2">
        <v>2023</v>
      </c>
      <c r="C94" s="2" t="s">
        <v>39</v>
      </c>
      <c r="D94" s="2" t="s">
        <v>519</v>
      </c>
      <c r="E94" s="2" t="s">
        <v>204</v>
      </c>
      <c r="F94" s="2" t="s">
        <v>502</v>
      </c>
      <c r="G94" s="2" t="s">
        <v>503</v>
      </c>
      <c r="H94" s="2">
        <v>51609.8</v>
      </c>
      <c r="I94" s="2" t="s">
        <v>504</v>
      </c>
      <c r="J94" s="2">
        <v>0.2417</v>
      </c>
      <c r="K94" s="2">
        <v>0</v>
      </c>
      <c r="L94" s="2">
        <v>0</v>
      </c>
      <c r="M94" s="2">
        <v>12.4741</v>
      </c>
      <c r="N94" s="2">
        <v>0</v>
      </c>
      <c r="O94" s="2">
        <v>12.4741</v>
      </c>
      <c r="P94" s="2" t="s">
        <v>505</v>
      </c>
      <c r="Q94" s="2" t="s">
        <v>512</v>
      </c>
    </row>
    <row r="95" spans="1:17" x14ac:dyDescent="0.25">
      <c r="A95" s="3">
        <v>92</v>
      </c>
      <c r="B95" s="3">
        <v>2023</v>
      </c>
      <c r="C95" s="3" t="s">
        <v>46</v>
      </c>
      <c r="D95" s="3" t="s">
        <v>524</v>
      </c>
      <c r="E95" s="3" t="s">
        <v>96</v>
      </c>
      <c r="F95" s="3" t="s">
        <v>517</v>
      </c>
      <c r="G95" s="3" t="s">
        <v>509</v>
      </c>
      <c r="H95" s="3">
        <v>58237.4</v>
      </c>
      <c r="I95" s="3" t="s">
        <v>510</v>
      </c>
      <c r="J95" s="3">
        <v>0.61029999999999995</v>
      </c>
      <c r="K95" s="3">
        <v>0</v>
      </c>
      <c r="L95" s="3">
        <v>0</v>
      </c>
      <c r="M95" s="3">
        <v>35.542299999999997</v>
      </c>
      <c r="N95" s="3">
        <v>0</v>
      </c>
      <c r="O95" s="3">
        <v>35.542299999999997</v>
      </c>
      <c r="P95" s="3" t="s">
        <v>505</v>
      </c>
      <c r="Q95" s="3" t="s">
        <v>512</v>
      </c>
    </row>
    <row r="96" spans="1:17" x14ac:dyDescent="0.25">
      <c r="A96" s="2">
        <v>93</v>
      </c>
      <c r="B96" s="2">
        <v>2023</v>
      </c>
      <c r="C96" s="2" t="s">
        <v>22</v>
      </c>
      <c r="D96" s="2" t="s">
        <v>526</v>
      </c>
      <c r="E96" s="2" t="s">
        <v>65</v>
      </c>
      <c r="F96" s="2" t="s">
        <v>517</v>
      </c>
      <c r="G96" s="2" t="s">
        <v>509</v>
      </c>
      <c r="H96" s="2">
        <v>85025.600000000006</v>
      </c>
      <c r="I96" s="2" t="s">
        <v>510</v>
      </c>
      <c r="J96" s="2">
        <v>0.59940000000000004</v>
      </c>
      <c r="K96" s="2">
        <v>0</v>
      </c>
      <c r="L96" s="2">
        <v>0</v>
      </c>
      <c r="M96" s="2">
        <v>50.964300000000001</v>
      </c>
      <c r="N96" s="2">
        <v>0</v>
      </c>
      <c r="O96" s="2">
        <v>50.964300000000001</v>
      </c>
      <c r="P96" s="2" t="s">
        <v>505</v>
      </c>
      <c r="Q96" s="2" t="s">
        <v>512</v>
      </c>
    </row>
    <row r="97" spans="1:17" x14ac:dyDescent="0.25">
      <c r="A97" s="3">
        <v>94</v>
      </c>
      <c r="B97" s="3">
        <v>2023</v>
      </c>
      <c r="C97" s="3" t="s">
        <v>32</v>
      </c>
      <c r="D97" s="3" t="s">
        <v>521</v>
      </c>
      <c r="E97" s="3" t="s">
        <v>88</v>
      </c>
      <c r="F97" s="3" t="s">
        <v>520</v>
      </c>
      <c r="G97" s="3" t="s">
        <v>509</v>
      </c>
      <c r="H97" s="3">
        <v>49522</v>
      </c>
      <c r="I97" s="3" t="s">
        <v>510</v>
      </c>
      <c r="J97" s="3">
        <v>0.39839999999999998</v>
      </c>
      <c r="K97" s="3">
        <v>0</v>
      </c>
      <c r="L97" s="3">
        <v>0</v>
      </c>
      <c r="M97" s="3">
        <v>19.729600000000001</v>
      </c>
      <c r="N97" s="3">
        <v>0</v>
      </c>
      <c r="O97" s="3">
        <v>19.729600000000001</v>
      </c>
      <c r="P97" s="3" t="s">
        <v>505</v>
      </c>
      <c r="Q97" s="3" t="s">
        <v>518</v>
      </c>
    </row>
    <row r="98" spans="1:17" x14ac:dyDescent="0.25">
      <c r="A98" s="2">
        <v>95</v>
      </c>
      <c r="B98" s="2">
        <v>2023</v>
      </c>
      <c r="C98" s="2" t="s">
        <v>39</v>
      </c>
      <c r="D98" s="2" t="s">
        <v>519</v>
      </c>
      <c r="E98" s="2" t="s">
        <v>70</v>
      </c>
      <c r="F98" s="2" t="s">
        <v>525</v>
      </c>
      <c r="G98" s="2" t="s">
        <v>509</v>
      </c>
      <c r="H98" s="2">
        <v>56657.599999999999</v>
      </c>
      <c r="I98" s="2" t="s">
        <v>510</v>
      </c>
      <c r="J98" s="2">
        <v>0.70279999999999998</v>
      </c>
      <c r="K98" s="2">
        <v>0</v>
      </c>
      <c r="L98" s="2">
        <v>0</v>
      </c>
      <c r="M98" s="2">
        <v>39.819000000000003</v>
      </c>
      <c r="N98" s="2">
        <v>0</v>
      </c>
      <c r="O98" s="2">
        <v>39.819000000000003</v>
      </c>
      <c r="P98" s="2" t="s">
        <v>505</v>
      </c>
      <c r="Q98" s="2" t="s">
        <v>518</v>
      </c>
    </row>
    <row r="99" spans="1:17" x14ac:dyDescent="0.25">
      <c r="A99" s="3">
        <v>96</v>
      </c>
      <c r="B99" s="3">
        <v>2023</v>
      </c>
      <c r="C99" s="3" t="s">
        <v>46</v>
      </c>
      <c r="D99" s="3" t="s">
        <v>511</v>
      </c>
      <c r="E99" s="3" t="s">
        <v>204</v>
      </c>
      <c r="F99" s="3" t="s">
        <v>515</v>
      </c>
      <c r="G99" s="3" t="s">
        <v>516</v>
      </c>
      <c r="H99" s="3">
        <v>4689.7</v>
      </c>
      <c r="I99" s="3" t="s">
        <v>504</v>
      </c>
      <c r="J99" s="3">
        <v>0.46389999999999998</v>
      </c>
      <c r="K99" s="3">
        <v>7.02</v>
      </c>
      <c r="L99" s="3">
        <v>0.35809999999999997</v>
      </c>
      <c r="M99" s="3">
        <v>2.1756000000000002</v>
      </c>
      <c r="N99" s="3">
        <v>0.1179</v>
      </c>
      <c r="O99" s="3">
        <v>2.2934999999999999</v>
      </c>
      <c r="P99" s="3" t="s">
        <v>505</v>
      </c>
      <c r="Q99" s="3" t="s">
        <v>512</v>
      </c>
    </row>
    <row r="100" spans="1:17" x14ac:dyDescent="0.25">
      <c r="A100" s="2">
        <v>97</v>
      </c>
      <c r="B100" s="2">
        <v>2023</v>
      </c>
      <c r="C100" s="2" t="s">
        <v>22</v>
      </c>
      <c r="D100" s="2" t="s">
        <v>521</v>
      </c>
      <c r="E100" s="2" t="s">
        <v>110</v>
      </c>
      <c r="F100" s="2" t="s">
        <v>515</v>
      </c>
      <c r="G100" s="2" t="s">
        <v>516</v>
      </c>
      <c r="H100" s="2">
        <v>99184.6</v>
      </c>
      <c r="I100" s="2" t="s">
        <v>504</v>
      </c>
      <c r="J100" s="2">
        <v>0.43419999999999997</v>
      </c>
      <c r="K100" s="2">
        <v>7.97</v>
      </c>
      <c r="L100" s="2">
        <v>0.80469999999999997</v>
      </c>
      <c r="M100" s="2">
        <v>43.066000000000003</v>
      </c>
      <c r="N100" s="2">
        <v>6.3612000000000002</v>
      </c>
      <c r="O100" s="2">
        <v>49.427199999999999</v>
      </c>
      <c r="P100" s="2" t="s">
        <v>505</v>
      </c>
      <c r="Q100" s="2" t="s">
        <v>512</v>
      </c>
    </row>
    <row r="101" spans="1:17" x14ac:dyDescent="0.25">
      <c r="A101" s="3">
        <v>98</v>
      </c>
      <c r="B101" s="3">
        <v>2023</v>
      </c>
      <c r="C101" s="3" t="s">
        <v>32</v>
      </c>
      <c r="D101" s="3" t="s">
        <v>519</v>
      </c>
      <c r="E101" s="3" t="s">
        <v>154</v>
      </c>
      <c r="F101" s="3" t="s">
        <v>514</v>
      </c>
      <c r="G101" s="3" t="s">
        <v>509</v>
      </c>
      <c r="H101" s="3">
        <v>65493.3</v>
      </c>
      <c r="I101" s="3" t="s">
        <v>510</v>
      </c>
      <c r="J101" s="3">
        <v>0.36759999999999998</v>
      </c>
      <c r="K101" s="3">
        <v>0</v>
      </c>
      <c r="L101" s="3">
        <v>0</v>
      </c>
      <c r="M101" s="3">
        <v>24.075299999999999</v>
      </c>
      <c r="N101" s="3">
        <v>0</v>
      </c>
      <c r="O101" s="3">
        <v>24.075299999999999</v>
      </c>
      <c r="P101" s="3" t="s">
        <v>505</v>
      </c>
      <c r="Q101" s="3" t="s">
        <v>518</v>
      </c>
    </row>
    <row r="102" spans="1:17" x14ac:dyDescent="0.25">
      <c r="A102" s="2">
        <v>99</v>
      </c>
      <c r="B102" s="2">
        <v>2023</v>
      </c>
      <c r="C102" s="2" t="s">
        <v>39</v>
      </c>
      <c r="D102" s="2" t="s">
        <v>501</v>
      </c>
      <c r="E102" s="2" t="s">
        <v>33</v>
      </c>
      <c r="F102" s="2" t="s">
        <v>525</v>
      </c>
      <c r="G102" s="2" t="s">
        <v>509</v>
      </c>
      <c r="H102" s="2">
        <v>5273.5</v>
      </c>
      <c r="I102" s="2" t="s">
        <v>510</v>
      </c>
      <c r="J102" s="2">
        <v>0.7238</v>
      </c>
      <c r="K102" s="2">
        <v>0</v>
      </c>
      <c r="L102" s="2">
        <v>0</v>
      </c>
      <c r="M102" s="2">
        <v>3.8170000000000002</v>
      </c>
      <c r="N102" s="2">
        <v>0</v>
      </c>
      <c r="O102" s="2">
        <v>3.8170000000000002</v>
      </c>
      <c r="P102" s="2" t="s">
        <v>505</v>
      </c>
      <c r="Q102" s="2" t="s">
        <v>518</v>
      </c>
    </row>
    <row r="103" spans="1:17" x14ac:dyDescent="0.25">
      <c r="A103" s="3">
        <v>100</v>
      </c>
      <c r="B103" s="3">
        <v>2023</v>
      </c>
      <c r="C103" s="3" t="s">
        <v>46</v>
      </c>
      <c r="D103" s="3" t="s">
        <v>507</v>
      </c>
      <c r="E103" s="3" t="s">
        <v>24</v>
      </c>
      <c r="F103" s="3" t="s">
        <v>514</v>
      </c>
      <c r="G103" s="3" t="s">
        <v>509</v>
      </c>
      <c r="H103" s="3">
        <v>70399.399999999994</v>
      </c>
      <c r="I103" s="3" t="s">
        <v>510</v>
      </c>
      <c r="J103" s="3">
        <v>0.33019999999999999</v>
      </c>
      <c r="K103" s="3">
        <v>0</v>
      </c>
      <c r="L103" s="3">
        <v>0</v>
      </c>
      <c r="M103" s="3">
        <v>23.245899999999999</v>
      </c>
      <c r="N103" s="3">
        <v>0</v>
      </c>
      <c r="O103" s="3">
        <v>23.245899999999999</v>
      </c>
      <c r="P103" s="3" t="s">
        <v>505</v>
      </c>
      <c r="Q103" s="3" t="s">
        <v>506</v>
      </c>
    </row>
  </sheetData>
  <autoFilter ref="A3:Q3" xr:uid="{00000000-0009-0000-0000-000002000000}"/>
  <mergeCells count="2">
    <mergeCell ref="A1:P1"/>
    <mergeCell ref="A2:P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5A11"/>
  </sheetPr>
  <dimension ref="A1:T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527</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38.25" x14ac:dyDescent="0.25">
      <c r="A3" s="1" t="s">
        <v>2</v>
      </c>
      <c r="B3" s="1" t="s">
        <v>3</v>
      </c>
      <c r="C3" s="1" t="s">
        <v>4</v>
      </c>
      <c r="D3" s="1" t="s">
        <v>528</v>
      </c>
      <c r="E3" s="1" t="s">
        <v>529</v>
      </c>
      <c r="F3" s="1" t="s">
        <v>530</v>
      </c>
      <c r="G3" s="1" t="s">
        <v>5</v>
      </c>
      <c r="H3" s="1" t="s">
        <v>531</v>
      </c>
      <c r="I3" s="1" t="s">
        <v>532</v>
      </c>
      <c r="J3" s="1" t="s">
        <v>533</v>
      </c>
      <c r="K3" s="1" t="s">
        <v>534</v>
      </c>
      <c r="L3" s="1" t="s">
        <v>535</v>
      </c>
      <c r="M3" s="1" t="s">
        <v>536</v>
      </c>
      <c r="N3" s="1" t="s">
        <v>537</v>
      </c>
      <c r="O3" s="1" t="s">
        <v>538</v>
      </c>
      <c r="P3" s="1" t="s">
        <v>539</v>
      </c>
      <c r="Q3" s="1" t="s">
        <v>15</v>
      </c>
      <c r="R3" s="1" t="s">
        <v>18</v>
      </c>
      <c r="S3" s="1" t="s">
        <v>540</v>
      </c>
      <c r="T3" s="1" t="s">
        <v>541</v>
      </c>
    </row>
    <row r="4" spans="1:20" x14ac:dyDescent="0.25">
      <c r="A4" s="2">
        <v>1</v>
      </c>
      <c r="B4" s="2">
        <v>2023</v>
      </c>
      <c r="C4" s="2" t="s">
        <v>22</v>
      </c>
      <c r="D4" s="2" t="s">
        <v>542</v>
      </c>
      <c r="E4" s="2" t="s">
        <v>54</v>
      </c>
      <c r="F4" s="2" t="s">
        <v>24</v>
      </c>
      <c r="G4" s="2" t="s">
        <v>105</v>
      </c>
      <c r="H4" s="2" t="s">
        <v>140</v>
      </c>
      <c r="I4" s="2" t="s">
        <v>543</v>
      </c>
      <c r="J4" s="2" t="s">
        <v>544</v>
      </c>
      <c r="K4" s="2">
        <v>113.48</v>
      </c>
      <c r="L4" s="2">
        <v>10215.700000000001</v>
      </c>
      <c r="M4" s="2">
        <v>1159277.6399999999</v>
      </c>
      <c r="N4" s="2">
        <v>3.3000000000000002E-2</v>
      </c>
      <c r="O4" s="2">
        <v>38.256160000000001</v>
      </c>
      <c r="P4" s="2">
        <v>331.24</v>
      </c>
      <c r="Q4" s="2">
        <v>1.5100000000000001E-3</v>
      </c>
      <c r="R4" s="2">
        <v>5.0000000000000001E-4</v>
      </c>
      <c r="S4" s="2" t="s">
        <v>545</v>
      </c>
      <c r="T4" s="2" t="s">
        <v>546</v>
      </c>
    </row>
    <row r="5" spans="1:20" x14ac:dyDescent="0.25">
      <c r="A5" s="3">
        <v>2</v>
      </c>
      <c r="B5" s="3">
        <v>2023</v>
      </c>
      <c r="C5" s="3" t="s">
        <v>32</v>
      </c>
      <c r="D5" s="3" t="s">
        <v>547</v>
      </c>
      <c r="E5" s="3" t="s">
        <v>70</v>
      </c>
      <c r="F5" s="3" t="s">
        <v>117</v>
      </c>
      <c r="G5" s="3" t="s">
        <v>138</v>
      </c>
      <c r="H5" s="3" t="s">
        <v>128</v>
      </c>
      <c r="I5" s="3" t="s">
        <v>548</v>
      </c>
      <c r="J5" s="3" t="s">
        <v>544</v>
      </c>
      <c r="K5" s="3">
        <v>191.84</v>
      </c>
      <c r="L5" s="3">
        <v>10974.9</v>
      </c>
      <c r="M5" s="3">
        <v>2105424.8199999998</v>
      </c>
      <c r="N5" s="3">
        <v>2.8000000000000001E-2</v>
      </c>
      <c r="O5" s="3">
        <v>58.951889999999999</v>
      </c>
      <c r="P5" s="3">
        <v>2650.44</v>
      </c>
      <c r="Q5" s="3">
        <v>8.9999999999999998E-4</v>
      </c>
      <c r="R5" s="3">
        <v>2.3900000000000002E-3</v>
      </c>
      <c r="S5" s="3" t="s">
        <v>549</v>
      </c>
      <c r="T5" s="3" t="s">
        <v>546</v>
      </c>
    </row>
    <row r="6" spans="1:20" x14ac:dyDescent="0.25">
      <c r="A6" s="2">
        <v>3</v>
      </c>
      <c r="B6" s="2">
        <v>2023</v>
      </c>
      <c r="C6" s="2" t="s">
        <v>39</v>
      </c>
      <c r="D6" s="2" t="s">
        <v>550</v>
      </c>
      <c r="E6" s="2" t="s">
        <v>65</v>
      </c>
      <c r="F6" s="2" t="s">
        <v>154</v>
      </c>
      <c r="G6" s="2" t="s">
        <v>138</v>
      </c>
      <c r="H6" s="2" t="s">
        <v>35</v>
      </c>
      <c r="I6" s="2" t="s">
        <v>543</v>
      </c>
      <c r="J6" s="2" t="s">
        <v>551</v>
      </c>
      <c r="K6" s="2">
        <v>281.86</v>
      </c>
      <c r="L6" s="2">
        <v>9174.2999999999993</v>
      </c>
      <c r="M6" s="2">
        <v>2585868.2000000002</v>
      </c>
      <c r="N6" s="2">
        <v>3.3000000000000002E-2</v>
      </c>
      <c r="O6" s="2">
        <v>85.333650000000006</v>
      </c>
      <c r="P6" s="2">
        <v>4186.5</v>
      </c>
      <c r="Q6" s="2">
        <v>9.6000000000000002E-4</v>
      </c>
      <c r="R6" s="2">
        <v>4.0200000000000001E-3</v>
      </c>
      <c r="S6" s="2" t="s">
        <v>545</v>
      </c>
      <c r="T6" s="2" t="s">
        <v>546</v>
      </c>
    </row>
    <row r="7" spans="1:20" ht="24" x14ac:dyDescent="0.25">
      <c r="A7" s="3">
        <v>4</v>
      </c>
      <c r="B7" s="3">
        <v>2023</v>
      </c>
      <c r="C7" s="3" t="s">
        <v>46</v>
      </c>
      <c r="D7" s="3" t="s">
        <v>552</v>
      </c>
      <c r="E7" s="3" t="s">
        <v>88</v>
      </c>
      <c r="F7" s="3" t="s">
        <v>33</v>
      </c>
      <c r="G7" s="3" t="s">
        <v>40</v>
      </c>
      <c r="H7" s="3" t="s">
        <v>42</v>
      </c>
      <c r="I7" s="3" t="s">
        <v>553</v>
      </c>
      <c r="J7" s="3" t="s">
        <v>544</v>
      </c>
      <c r="K7" s="3">
        <v>448.35</v>
      </c>
      <c r="L7" s="3">
        <v>2143.1999999999998</v>
      </c>
      <c r="M7" s="3">
        <v>960903.72</v>
      </c>
      <c r="N7" s="3">
        <v>0.1</v>
      </c>
      <c r="O7" s="3">
        <v>96.090369999999993</v>
      </c>
      <c r="P7" s="3">
        <v>3166.61</v>
      </c>
      <c r="Q7" s="3">
        <v>1.57E-3</v>
      </c>
      <c r="R7" s="3">
        <v>4.9699999999999996E-3</v>
      </c>
      <c r="S7" s="3" t="s">
        <v>549</v>
      </c>
      <c r="T7" s="3" t="s">
        <v>554</v>
      </c>
    </row>
    <row r="8" spans="1:20" x14ac:dyDescent="0.25">
      <c r="A8" s="2">
        <v>5</v>
      </c>
      <c r="B8" s="2">
        <v>2023</v>
      </c>
      <c r="C8" s="2" t="s">
        <v>22</v>
      </c>
      <c r="D8" s="2" t="s">
        <v>555</v>
      </c>
      <c r="E8" s="2" t="s">
        <v>92</v>
      </c>
      <c r="F8" s="2" t="s">
        <v>96</v>
      </c>
      <c r="G8" s="2" t="s">
        <v>230</v>
      </c>
      <c r="H8" s="2" t="s">
        <v>26</v>
      </c>
      <c r="I8" s="2" t="s">
        <v>556</v>
      </c>
      <c r="J8" s="2" t="s">
        <v>557</v>
      </c>
      <c r="K8" s="2">
        <v>42.58</v>
      </c>
      <c r="L8" s="2">
        <v>8323.2999999999993</v>
      </c>
      <c r="M8" s="2">
        <v>354406.11</v>
      </c>
      <c r="N8" s="2">
        <v>0.18</v>
      </c>
      <c r="O8" s="2">
        <v>63.793100000000003</v>
      </c>
      <c r="P8" s="2">
        <v>15040.2</v>
      </c>
      <c r="Q8" s="2">
        <v>1.3699999999999999E-3</v>
      </c>
      <c r="R8" s="2">
        <v>2.061E-2</v>
      </c>
      <c r="S8" s="2" t="s">
        <v>549</v>
      </c>
      <c r="T8" s="2" t="s">
        <v>518</v>
      </c>
    </row>
    <row r="9" spans="1:20" x14ac:dyDescent="0.25">
      <c r="A9" s="3">
        <v>6</v>
      </c>
      <c r="B9" s="3">
        <v>2023</v>
      </c>
      <c r="C9" s="3" t="s">
        <v>32</v>
      </c>
      <c r="D9" s="3" t="s">
        <v>558</v>
      </c>
      <c r="E9" s="3" t="s">
        <v>70</v>
      </c>
      <c r="F9" s="3" t="s">
        <v>92</v>
      </c>
      <c r="G9" s="3" t="s">
        <v>53</v>
      </c>
      <c r="H9" s="3" t="s">
        <v>99</v>
      </c>
      <c r="I9" s="3" t="s">
        <v>543</v>
      </c>
      <c r="J9" s="3" t="s">
        <v>551</v>
      </c>
      <c r="K9" s="3">
        <v>255.01</v>
      </c>
      <c r="L9" s="3">
        <v>11230.3</v>
      </c>
      <c r="M9" s="3">
        <v>2863838.8</v>
      </c>
      <c r="N9" s="3">
        <v>3.3000000000000002E-2</v>
      </c>
      <c r="O9" s="3">
        <v>94.506680000000003</v>
      </c>
      <c r="P9" s="3">
        <v>7459</v>
      </c>
      <c r="Q9" s="3">
        <v>4.8999999999999998E-4</v>
      </c>
      <c r="R9" s="3">
        <v>3.65E-3</v>
      </c>
      <c r="S9" s="3" t="s">
        <v>549</v>
      </c>
      <c r="T9" s="3" t="s">
        <v>546</v>
      </c>
    </row>
    <row r="10" spans="1:20" ht="24" x14ac:dyDescent="0.25">
      <c r="A10" s="2">
        <v>7</v>
      </c>
      <c r="B10" s="2">
        <v>2023</v>
      </c>
      <c r="C10" s="2" t="s">
        <v>39</v>
      </c>
      <c r="D10" s="2" t="s">
        <v>559</v>
      </c>
      <c r="E10" s="2" t="s">
        <v>88</v>
      </c>
      <c r="F10" s="2" t="s">
        <v>70</v>
      </c>
      <c r="G10" s="2" t="s">
        <v>40</v>
      </c>
      <c r="H10" s="2" t="s">
        <v>114</v>
      </c>
      <c r="I10" s="2" t="s">
        <v>560</v>
      </c>
      <c r="J10" s="2" t="s">
        <v>551</v>
      </c>
      <c r="K10" s="2">
        <v>319.22000000000003</v>
      </c>
      <c r="L10" s="2">
        <v>1111.5999999999999</v>
      </c>
      <c r="M10" s="2">
        <v>354844.95</v>
      </c>
      <c r="N10" s="2">
        <v>0.95</v>
      </c>
      <c r="O10" s="2">
        <v>337.10270000000003</v>
      </c>
      <c r="P10" s="2">
        <v>22229.24</v>
      </c>
      <c r="Q10" s="2">
        <v>4.2000000000000002E-4</v>
      </c>
      <c r="R10" s="2">
        <v>9.3399999999999993E-3</v>
      </c>
      <c r="S10" s="2" t="s">
        <v>545</v>
      </c>
      <c r="T10" s="2" t="s">
        <v>554</v>
      </c>
    </row>
    <row r="11" spans="1:20" x14ac:dyDescent="0.25">
      <c r="A11" s="3">
        <v>8</v>
      </c>
      <c r="B11" s="3">
        <v>2023</v>
      </c>
      <c r="C11" s="3" t="s">
        <v>46</v>
      </c>
      <c r="D11" s="3" t="s">
        <v>561</v>
      </c>
      <c r="E11" s="3" t="s">
        <v>120</v>
      </c>
      <c r="F11" s="3" t="s">
        <v>58</v>
      </c>
      <c r="G11" s="3" t="s">
        <v>57</v>
      </c>
      <c r="H11" s="3" t="s">
        <v>89</v>
      </c>
      <c r="I11" s="3" t="s">
        <v>543</v>
      </c>
      <c r="J11" s="3" t="s">
        <v>557</v>
      </c>
      <c r="K11" s="3">
        <v>341.63</v>
      </c>
      <c r="L11" s="3">
        <v>11452.8</v>
      </c>
      <c r="M11" s="3">
        <v>3912620.06</v>
      </c>
      <c r="N11" s="3">
        <v>3.3000000000000002E-2</v>
      </c>
      <c r="O11" s="3">
        <v>129.11645999999999</v>
      </c>
      <c r="P11" s="3">
        <v>23865.88</v>
      </c>
      <c r="Q11" s="3">
        <v>1.6299999999999999E-3</v>
      </c>
      <c r="R11" s="3">
        <v>3.8899999999999997E-2</v>
      </c>
      <c r="S11" s="3" t="s">
        <v>549</v>
      </c>
      <c r="T11" s="3" t="s">
        <v>546</v>
      </c>
    </row>
    <row r="12" spans="1:20" x14ac:dyDescent="0.25">
      <c r="A12" s="2">
        <v>9</v>
      </c>
      <c r="B12" s="2">
        <v>2023</v>
      </c>
      <c r="C12" s="2" t="s">
        <v>22</v>
      </c>
      <c r="D12" s="2" t="s">
        <v>562</v>
      </c>
      <c r="E12" s="2" t="s">
        <v>92</v>
      </c>
      <c r="F12" s="2" t="s">
        <v>33</v>
      </c>
      <c r="G12" s="2" t="s">
        <v>105</v>
      </c>
      <c r="H12" s="2" t="s">
        <v>140</v>
      </c>
      <c r="I12" s="2" t="s">
        <v>553</v>
      </c>
      <c r="J12" s="2" t="s">
        <v>551</v>
      </c>
      <c r="K12" s="2">
        <v>474.37</v>
      </c>
      <c r="L12" s="2">
        <v>5999.7</v>
      </c>
      <c r="M12" s="2">
        <v>2846077.69</v>
      </c>
      <c r="N12" s="2">
        <v>0.1</v>
      </c>
      <c r="O12" s="2">
        <v>284.60777000000002</v>
      </c>
      <c r="P12" s="2">
        <v>7233.55</v>
      </c>
      <c r="Q12" s="2">
        <v>1.5399999999999999E-3</v>
      </c>
      <c r="R12" s="2">
        <v>1.1140000000000001E-2</v>
      </c>
      <c r="S12" s="2" t="s">
        <v>549</v>
      </c>
      <c r="T12" s="2" t="s">
        <v>518</v>
      </c>
    </row>
    <row r="13" spans="1:20" x14ac:dyDescent="0.25">
      <c r="A13" s="3">
        <v>10</v>
      </c>
      <c r="B13" s="3">
        <v>2023</v>
      </c>
      <c r="C13" s="3" t="s">
        <v>32</v>
      </c>
      <c r="D13" s="3" t="s">
        <v>563</v>
      </c>
      <c r="E13" s="3" t="s">
        <v>70</v>
      </c>
      <c r="F13" s="3" t="s">
        <v>65</v>
      </c>
      <c r="G13" s="3" t="s">
        <v>138</v>
      </c>
      <c r="H13" s="3" t="s">
        <v>198</v>
      </c>
      <c r="I13" s="3" t="s">
        <v>543</v>
      </c>
      <c r="J13" s="3" t="s">
        <v>564</v>
      </c>
      <c r="K13" s="3">
        <v>269.06</v>
      </c>
      <c r="L13" s="3">
        <v>2332.6</v>
      </c>
      <c r="M13" s="3">
        <v>627609.36</v>
      </c>
      <c r="N13" s="3">
        <v>3.3000000000000002E-2</v>
      </c>
      <c r="O13" s="3">
        <v>20.711110000000001</v>
      </c>
      <c r="P13" s="3">
        <v>2181.5700000000002</v>
      </c>
      <c r="Q13" s="3">
        <v>5.2999999999999998E-4</v>
      </c>
      <c r="R13" s="3">
        <v>1.16E-3</v>
      </c>
      <c r="S13" s="3" t="s">
        <v>545</v>
      </c>
      <c r="T13" s="3" t="s">
        <v>518</v>
      </c>
    </row>
    <row r="14" spans="1:20" ht="24" x14ac:dyDescent="0.25">
      <c r="A14" s="2">
        <v>11</v>
      </c>
      <c r="B14" s="2">
        <v>2023</v>
      </c>
      <c r="C14" s="2" t="s">
        <v>39</v>
      </c>
      <c r="D14" s="2" t="s">
        <v>565</v>
      </c>
      <c r="E14" s="2" t="s">
        <v>33</v>
      </c>
      <c r="F14" s="2" t="s">
        <v>96</v>
      </c>
      <c r="G14" s="2" t="s">
        <v>53</v>
      </c>
      <c r="H14" s="2" t="s">
        <v>89</v>
      </c>
      <c r="I14" s="2" t="s">
        <v>556</v>
      </c>
      <c r="J14" s="2" t="s">
        <v>566</v>
      </c>
      <c r="K14" s="2">
        <v>381.73</v>
      </c>
      <c r="L14" s="2">
        <v>9765.1</v>
      </c>
      <c r="M14" s="2">
        <v>3727631.62</v>
      </c>
      <c r="N14" s="2">
        <v>0.18</v>
      </c>
      <c r="O14" s="2">
        <v>670.97369000000003</v>
      </c>
      <c r="P14" s="2">
        <v>16114.55</v>
      </c>
      <c r="Q14" s="2">
        <v>8.9999999999999998E-4</v>
      </c>
      <c r="R14" s="2">
        <v>1.4500000000000001E-2</v>
      </c>
      <c r="S14" s="2" t="s">
        <v>549</v>
      </c>
      <c r="T14" s="2" t="s">
        <v>554</v>
      </c>
    </row>
    <row r="15" spans="1:20" x14ac:dyDescent="0.25">
      <c r="A15" s="3">
        <v>12</v>
      </c>
      <c r="B15" s="3">
        <v>2023</v>
      </c>
      <c r="C15" s="3" t="s">
        <v>46</v>
      </c>
      <c r="D15" s="3" t="s">
        <v>567</v>
      </c>
      <c r="E15" s="3" t="s">
        <v>96</v>
      </c>
      <c r="F15" s="3" t="s">
        <v>110</v>
      </c>
      <c r="G15" s="3" t="s">
        <v>84</v>
      </c>
      <c r="H15" s="3" t="s">
        <v>89</v>
      </c>
      <c r="I15" s="3" t="s">
        <v>553</v>
      </c>
      <c r="J15" s="3" t="s">
        <v>544</v>
      </c>
      <c r="K15" s="3">
        <v>226.96</v>
      </c>
      <c r="L15" s="3">
        <v>9152</v>
      </c>
      <c r="M15" s="3">
        <v>2077137.9199999999</v>
      </c>
      <c r="N15" s="3">
        <v>0.1</v>
      </c>
      <c r="O15" s="3">
        <v>207.71378999999999</v>
      </c>
      <c r="P15" s="3">
        <v>7801.32</v>
      </c>
      <c r="Q15" s="3">
        <v>1.5900000000000001E-3</v>
      </c>
      <c r="R15" s="3">
        <v>1.24E-2</v>
      </c>
      <c r="S15" s="3" t="s">
        <v>549</v>
      </c>
      <c r="T15" s="3" t="s">
        <v>546</v>
      </c>
    </row>
    <row r="16" spans="1:20" x14ac:dyDescent="0.25">
      <c r="A16" s="2">
        <v>13</v>
      </c>
      <c r="B16" s="2">
        <v>2023</v>
      </c>
      <c r="C16" s="2" t="s">
        <v>22</v>
      </c>
      <c r="D16" s="2" t="s">
        <v>568</v>
      </c>
      <c r="E16" s="2" t="s">
        <v>110</v>
      </c>
      <c r="F16" s="2" t="s">
        <v>88</v>
      </c>
      <c r="G16" s="2" t="s">
        <v>138</v>
      </c>
      <c r="H16" s="2" t="s">
        <v>140</v>
      </c>
      <c r="I16" s="2" t="s">
        <v>560</v>
      </c>
      <c r="J16" s="2" t="s">
        <v>557</v>
      </c>
      <c r="K16" s="2">
        <v>476.53</v>
      </c>
      <c r="L16" s="2">
        <v>7868.9</v>
      </c>
      <c r="M16" s="2">
        <v>3749766.92</v>
      </c>
      <c r="N16" s="2">
        <v>0.95</v>
      </c>
      <c r="O16" s="2">
        <v>3562.2785699999999</v>
      </c>
      <c r="P16" s="2">
        <v>19596.38</v>
      </c>
      <c r="Q16" s="2">
        <v>1.5499999999999999E-3</v>
      </c>
      <c r="R16" s="2">
        <v>3.0370000000000001E-2</v>
      </c>
      <c r="S16" s="2" t="s">
        <v>549</v>
      </c>
      <c r="T16" s="2" t="s">
        <v>546</v>
      </c>
    </row>
    <row r="17" spans="1:20" x14ac:dyDescent="0.25">
      <c r="A17" s="3">
        <v>14</v>
      </c>
      <c r="B17" s="3">
        <v>2023</v>
      </c>
      <c r="C17" s="3" t="s">
        <v>32</v>
      </c>
      <c r="D17" s="3" t="s">
        <v>569</v>
      </c>
      <c r="E17" s="3" t="s">
        <v>58</v>
      </c>
      <c r="F17" s="3" t="s">
        <v>154</v>
      </c>
      <c r="G17" s="3" t="s">
        <v>57</v>
      </c>
      <c r="H17" s="3" t="s">
        <v>99</v>
      </c>
      <c r="I17" s="3" t="s">
        <v>570</v>
      </c>
      <c r="J17" s="3" t="s">
        <v>571</v>
      </c>
      <c r="K17" s="3">
        <v>403.65</v>
      </c>
      <c r="L17" s="3">
        <v>4116.1000000000004</v>
      </c>
      <c r="M17" s="3">
        <v>1661463.77</v>
      </c>
      <c r="N17" s="3">
        <v>1.6E-2</v>
      </c>
      <c r="O17" s="3">
        <v>26.58342</v>
      </c>
      <c r="P17" s="3">
        <v>1690.41</v>
      </c>
      <c r="Q17" s="3">
        <v>1.5399999999999999E-3</v>
      </c>
      <c r="R17" s="3">
        <v>2.5999999999999999E-3</v>
      </c>
      <c r="S17" s="3" t="s">
        <v>545</v>
      </c>
      <c r="T17" s="3" t="s">
        <v>546</v>
      </c>
    </row>
    <row r="18" spans="1:20" x14ac:dyDescent="0.25">
      <c r="A18" s="2">
        <v>15</v>
      </c>
      <c r="B18" s="2">
        <v>2023</v>
      </c>
      <c r="C18" s="2" t="s">
        <v>39</v>
      </c>
      <c r="D18" s="2" t="s">
        <v>572</v>
      </c>
      <c r="E18" s="2" t="s">
        <v>70</v>
      </c>
      <c r="F18" s="2" t="s">
        <v>58</v>
      </c>
      <c r="G18" s="2" t="s">
        <v>84</v>
      </c>
      <c r="H18" s="2" t="s">
        <v>143</v>
      </c>
      <c r="I18" s="2" t="s">
        <v>560</v>
      </c>
      <c r="J18" s="2" t="s">
        <v>573</v>
      </c>
      <c r="K18" s="2">
        <v>429.75</v>
      </c>
      <c r="L18" s="2">
        <v>2544.9</v>
      </c>
      <c r="M18" s="2">
        <v>1093670.78</v>
      </c>
      <c r="N18" s="2">
        <v>0.95</v>
      </c>
      <c r="O18" s="2">
        <v>1038.9872399999999</v>
      </c>
      <c r="P18" s="2">
        <v>4017.02</v>
      </c>
      <c r="Q18" s="2">
        <v>1.64E-3</v>
      </c>
      <c r="R18" s="2">
        <v>6.5900000000000004E-3</v>
      </c>
      <c r="S18" s="2" t="s">
        <v>549</v>
      </c>
      <c r="T18" s="2" t="s">
        <v>546</v>
      </c>
    </row>
    <row r="19" spans="1:20" ht="24" x14ac:dyDescent="0.25">
      <c r="A19" s="3">
        <v>16</v>
      </c>
      <c r="B19" s="3">
        <v>2023</v>
      </c>
      <c r="C19" s="3" t="s">
        <v>46</v>
      </c>
      <c r="D19" s="3" t="s">
        <v>574</v>
      </c>
      <c r="E19" s="3" t="s">
        <v>70</v>
      </c>
      <c r="F19" s="3" t="s">
        <v>54</v>
      </c>
      <c r="G19" s="3" t="s">
        <v>64</v>
      </c>
      <c r="H19" s="3" t="s">
        <v>198</v>
      </c>
      <c r="I19" s="3" t="s">
        <v>553</v>
      </c>
      <c r="J19" s="3" t="s">
        <v>551</v>
      </c>
      <c r="K19" s="3">
        <v>122.65</v>
      </c>
      <c r="L19" s="3">
        <v>7102.9</v>
      </c>
      <c r="M19" s="3">
        <v>871170.68</v>
      </c>
      <c r="N19" s="3">
        <v>0.1</v>
      </c>
      <c r="O19" s="3">
        <v>87.117069999999998</v>
      </c>
      <c r="P19" s="3">
        <v>9636.19</v>
      </c>
      <c r="Q19" s="3">
        <v>6.4000000000000005E-4</v>
      </c>
      <c r="R19" s="3">
        <v>6.1700000000000001E-3</v>
      </c>
      <c r="S19" s="3" t="s">
        <v>549</v>
      </c>
      <c r="T19" s="3" t="s">
        <v>554</v>
      </c>
    </row>
    <row r="20" spans="1:20" x14ac:dyDescent="0.25">
      <c r="A20" s="2">
        <v>17</v>
      </c>
      <c r="B20" s="2">
        <v>2023</v>
      </c>
      <c r="C20" s="2" t="s">
        <v>22</v>
      </c>
      <c r="D20" s="2" t="s">
        <v>575</v>
      </c>
      <c r="E20" s="2" t="s">
        <v>88</v>
      </c>
      <c r="F20" s="2" t="s">
        <v>24</v>
      </c>
      <c r="G20" s="2" t="s">
        <v>252</v>
      </c>
      <c r="H20" s="2" t="s">
        <v>67</v>
      </c>
      <c r="I20" s="2" t="s">
        <v>548</v>
      </c>
      <c r="J20" s="2" t="s">
        <v>576</v>
      </c>
      <c r="K20" s="2">
        <v>208.42</v>
      </c>
      <c r="L20" s="2">
        <v>10818.3</v>
      </c>
      <c r="M20" s="2">
        <v>2254750.09</v>
      </c>
      <c r="N20" s="2">
        <v>2.8000000000000001E-2</v>
      </c>
      <c r="O20" s="2">
        <v>63.133000000000003</v>
      </c>
      <c r="P20" s="2">
        <v>6854.32</v>
      </c>
      <c r="Q20" s="2">
        <v>5.1999999999999995E-4</v>
      </c>
      <c r="R20" s="2">
        <v>3.5599999999999998E-3</v>
      </c>
      <c r="S20" s="2" t="s">
        <v>549</v>
      </c>
      <c r="T20" s="2" t="s">
        <v>546</v>
      </c>
    </row>
    <row r="21" spans="1:20" x14ac:dyDescent="0.25">
      <c r="A21" s="3">
        <v>18</v>
      </c>
      <c r="B21" s="3">
        <v>2023</v>
      </c>
      <c r="C21" s="3" t="s">
        <v>32</v>
      </c>
      <c r="D21" s="3" t="s">
        <v>577</v>
      </c>
      <c r="E21" s="3" t="s">
        <v>117</v>
      </c>
      <c r="F21" s="3" t="s">
        <v>92</v>
      </c>
      <c r="G21" s="3" t="s">
        <v>159</v>
      </c>
      <c r="H21" s="3" t="s">
        <v>112</v>
      </c>
      <c r="I21" s="3" t="s">
        <v>543</v>
      </c>
      <c r="J21" s="3" t="s">
        <v>578</v>
      </c>
      <c r="K21" s="3">
        <v>490.72</v>
      </c>
      <c r="L21" s="3">
        <v>14313.5</v>
      </c>
      <c r="M21" s="3">
        <v>7023920.7199999997</v>
      </c>
      <c r="N21" s="3">
        <v>3.3000000000000002E-2</v>
      </c>
      <c r="O21" s="3">
        <v>231.78937999999999</v>
      </c>
      <c r="P21" s="3">
        <v>1816.27</v>
      </c>
      <c r="Q21" s="3">
        <v>1.14E-3</v>
      </c>
      <c r="R21" s="3">
        <v>2.0699999999999998E-3</v>
      </c>
      <c r="S21" s="3" t="s">
        <v>545</v>
      </c>
      <c r="T21" s="3" t="s">
        <v>546</v>
      </c>
    </row>
    <row r="22" spans="1:20" x14ac:dyDescent="0.25">
      <c r="A22" s="2">
        <v>19</v>
      </c>
      <c r="B22" s="2">
        <v>2023</v>
      </c>
      <c r="C22" s="2" t="s">
        <v>39</v>
      </c>
      <c r="D22" s="2" t="s">
        <v>579</v>
      </c>
      <c r="E22" s="2" t="s">
        <v>204</v>
      </c>
      <c r="F22" s="2" t="s">
        <v>88</v>
      </c>
      <c r="G22" s="2" t="s">
        <v>166</v>
      </c>
      <c r="H22" s="2" t="s">
        <v>99</v>
      </c>
      <c r="I22" s="2" t="s">
        <v>570</v>
      </c>
      <c r="J22" s="2" t="s">
        <v>566</v>
      </c>
      <c r="K22" s="2">
        <v>100.74</v>
      </c>
      <c r="L22" s="2">
        <v>8478.9</v>
      </c>
      <c r="M22" s="2">
        <v>854164.39</v>
      </c>
      <c r="N22" s="2">
        <v>1.6E-2</v>
      </c>
      <c r="O22" s="2">
        <v>13.66663</v>
      </c>
      <c r="P22" s="2">
        <v>7667.34</v>
      </c>
      <c r="Q22" s="2">
        <v>1.4E-3</v>
      </c>
      <c r="R22" s="2">
        <v>1.073E-2</v>
      </c>
      <c r="S22" s="2" t="s">
        <v>549</v>
      </c>
      <c r="T22" s="2" t="s">
        <v>546</v>
      </c>
    </row>
    <row r="23" spans="1:20" x14ac:dyDescent="0.25">
      <c r="A23" s="3">
        <v>20</v>
      </c>
      <c r="B23" s="3">
        <v>2023</v>
      </c>
      <c r="C23" s="3" t="s">
        <v>46</v>
      </c>
      <c r="D23" s="3" t="s">
        <v>580</v>
      </c>
      <c r="E23" s="3" t="s">
        <v>96</v>
      </c>
      <c r="F23" s="3" t="s">
        <v>70</v>
      </c>
      <c r="G23" s="3" t="s">
        <v>230</v>
      </c>
      <c r="H23" s="3" t="s">
        <v>112</v>
      </c>
      <c r="I23" s="3" t="s">
        <v>553</v>
      </c>
      <c r="J23" s="3" t="s">
        <v>576</v>
      </c>
      <c r="K23" s="3">
        <v>466.23</v>
      </c>
      <c r="L23" s="3">
        <v>407.5</v>
      </c>
      <c r="M23" s="3">
        <v>189988.73</v>
      </c>
      <c r="N23" s="3">
        <v>0.1</v>
      </c>
      <c r="O23" s="3">
        <v>18.99887</v>
      </c>
      <c r="P23" s="3">
        <v>13584.48</v>
      </c>
      <c r="Q23" s="3">
        <v>1.42E-3</v>
      </c>
      <c r="R23" s="3">
        <v>1.9290000000000002E-2</v>
      </c>
      <c r="S23" s="3" t="s">
        <v>545</v>
      </c>
      <c r="T23" s="3" t="s">
        <v>518</v>
      </c>
    </row>
    <row r="24" spans="1:20" x14ac:dyDescent="0.25">
      <c r="A24" s="2">
        <v>21</v>
      </c>
      <c r="B24" s="2">
        <v>2023</v>
      </c>
      <c r="C24" s="2" t="s">
        <v>22</v>
      </c>
      <c r="D24" s="2" t="s">
        <v>581</v>
      </c>
      <c r="E24" s="2" t="s">
        <v>120</v>
      </c>
      <c r="F24" s="2" t="s">
        <v>110</v>
      </c>
      <c r="G24" s="2" t="s">
        <v>133</v>
      </c>
      <c r="H24" s="2" t="s">
        <v>106</v>
      </c>
      <c r="I24" s="2" t="s">
        <v>556</v>
      </c>
      <c r="J24" s="2" t="s">
        <v>576</v>
      </c>
      <c r="K24" s="2">
        <v>154.1</v>
      </c>
      <c r="L24" s="2">
        <v>3117.7</v>
      </c>
      <c r="M24" s="2">
        <v>480437.57</v>
      </c>
      <c r="N24" s="2">
        <v>0.18</v>
      </c>
      <c r="O24" s="2">
        <v>86.478759999999994</v>
      </c>
      <c r="P24" s="2">
        <v>24579.58</v>
      </c>
      <c r="Q24" s="2">
        <v>1.07E-3</v>
      </c>
      <c r="R24" s="2">
        <v>2.63E-2</v>
      </c>
      <c r="S24" s="2" t="s">
        <v>549</v>
      </c>
      <c r="T24" s="2" t="s">
        <v>518</v>
      </c>
    </row>
    <row r="25" spans="1:20" x14ac:dyDescent="0.25">
      <c r="A25" s="3">
        <v>22</v>
      </c>
      <c r="B25" s="3">
        <v>2023</v>
      </c>
      <c r="C25" s="3" t="s">
        <v>32</v>
      </c>
      <c r="D25" s="3" t="s">
        <v>582</v>
      </c>
      <c r="E25" s="3" t="s">
        <v>24</v>
      </c>
      <c r="F25" s="3" t="s">
        <v>139</v>
      </c>
      <c r="G25" s="3" t="s">
        <v>138</v>
      </c>
      <c r="H25" s="3" t="s">
        <v>67</v>
      </c>
      <c r="I25" s="3" t="s">
        <v>560</v>
      </c>
      <c r="J25" s="3" t="s">
        <v>551</v>
      </c>
      <c r="K25" s="3">
        <v>350.57</v>
      </c>
      <c r="L25" s="3">
        <v>5618.8</v>
      </c>
      <c r="M25" s="3">
        <v>1969782.72</v>
      </c>
      <c r="N25" s="3">
        <v>0.95</v>
      </c>
      <c r="O25" s="3">
        <v>1871.29358</v>
      </c>
      <c r="P25" s="3">
        <v>24366.41</v>
      </c>
      <c r="Q25" s="3">
        <v>5.4000000000000001E-4</v>
      </c>
      <c r="R25" s="3">
        <v>1.316E-2</v>
      </c>
      <c r="S25" s="3" t="s">
        <v>549</v>
      </c>
      <c r="T25" s="3" t="s">
        <v>518</v>
      </c>
    </row>
    <row r="26" spans="1:20" ht="24" x14ac:dyDescent="0.25">
      <c r="A26" s="2">
        <v>23</v>
      </c>
      <c r="B26" s="2">
        <v>2023</v>
      </c>
      <c r="C26" s="2" t="s">
        <v>39</v>
      </c>
      <c r="D26" s="2" t="s">
        <v>583</v>
      </c>
      <c r="E26" s="2" t="s">
        <v>54</v>
      </c>
      <c r="F26" s="2" t="s">
        <v>88</v>
      </c>
      <c r="G26" s="2" t="s">
        <v>47</v>
      </c>
      <c r="H26" s="2" t="s">
        <v>140</v>
      </c>
      <c r="I26" s="2" t="s">
        <v>543</v>
      </c>
      <c r="J26" s="2" t="s">
        <v>564</v>
      </c>
      <c r="K26" s="2">
        <v>31.61</v>
      </c>
      <c r="L26" s="2">
        <v>9953.5</v>
      </c>
      <c r="M26" s="2">
        <v>314630.14</v>
      </c>
      <c r="N26" s="2">
        <v>3.3000000000000002E-2</v>
      </c>
      <c r="O26" s="2">
        <v>10.38279</v>
      </c>
      <c r="P26" s="2">
        <v>3354.64</v>
      </c>
      <c r="Q26" s="2">
        <v>8.7000000000000001E-4</v>
      </c>
      <c r="R26" s="2">
        <v>2.9199999999999999E-3</v>
      </c>
      <c r="S26" s="2" t="s">
        <v>545</v>
      </c>
      <c r="T26" s="2" t="s">
        <v>554</v>
      </c>
    </row>
    <row r="27" spans="1:20" ht="24" x14ac:dyDescent="0.25">
      <c r="A27" s="3">
        <v>24</v>
      </c>
      <c r="B27" s="3">
        <v>2023</v>
      </c>
      <c r="C27" s="3" t="s">
        <v>46</v>
      </c>
      <c r="D27" s="3" t="s">
        <v>584</v>
      </c>
      <c r="E27" s="3" t="s">
        <v>24</v>
      </c>
      <c r="F27" s="3" t="s">
        <v>110</v>
      </c>
      <c r="G27" s="3" t="s">
        <v>84</v>
      </c>
      <c r="H27" s="3" t="s">
        <v>114</v>
      </c>
      <c r="I27" s="3" t="s">
        <v>570</v>
      </c>
      <c r="J27" s="3" t="s">
        <v>571</v>
      </c>
      <c r="K27" s="3">
        <v>117.19</v>
      </c>
      <c r="L27" s="3">
        <v>14156.1</v>
      </c>
      <c r="M27" s="3">
        <v>1658953.36</v>
      </c>
      <c r="N27" s="3">
        <v>1.6E-2</v>
      </c>
      <c r="O27" s="3">
        <v>26.54325</v>
      </c>
      <c r="P27" s="3">
        <v>3489.18</v>
      </c>
      <c r="Q27" s="3">
        <v>1.6299999999999999E-3</v>
      </c>
      <c r="R27" s="3">
        <v>5.6899999999999997E-3</v>
      </c>
      <c r="S27" s="3" t="s">
        <v>545</v>
      </c>
      <c r="T27" s="3" t="s">
        <v>554</v>
      </c>
    </row>
    <row r="28" spans="1:20" x14ac:dyDescent="0.25">
      <c r="A28" s="2">
        <v>25</v>
      </c>
      <c r="B28" s="2">
        <v>2023</v>
      </c>
      <c r="C28" s="2" t="s">
        <v>22</v>
      </c>
      <c r="D28" s="2" t="s">
        <v>585</v>
      </c>
      <c r="E28" s="2" t="s">
        <v>204</v>
      </c>
      <c r="F28" s="2" t="s">
        <v>117</v>
      </c>
      <c r="G28" s="2" t="s">
        <v>84</v>
      </c>
      <c r="H28" s="2" t="s">
        <v>106</v>
      </c>
      <c r="I28" s="2" t="s">
        <v>560</v>
      </c>
      <c r="J28" s="2" t="s">
        <v>544</v>
      </c>
      <c r="K28" s="2">
        <v>60.81</v>
      </c>
      <c r="L28" s="2">
        <v>5406.4</v>
      </c>
      <c r="M28" s="2">
        <v>328763.18</v>
      </c>
      <c r="N28" s="2">
        <v>0.95</v>
      </c>
      <c r="O28" s="2">
        <v>312.32501999999999</v>
      </c>
      <c r="P28" s="2">
        <v>19281.39</v>
      </c>
      <c r="Q28" s="2">
        <v>1.1199999999999999E-3</v>
      </c>
      <c r="R28" s="2">
        <v>2.1600000000000001E-2</v>
      </c>
      <c r="S28" s="2" t="s">
        <v>545</v>
      </c>
      <c r="T28" s="2" t="s">
        <v>518</v>
      </c>
    </row>
    <row r="29" spans="1:20" x14ac:dyDescent="0.25">
      <c r="A29" s="3">
        <v>26</v>
      </c>
      <c r="B29" s="3">
        <v>2023</v>
      </c>
      <c r="C29" s="3" t="s">
        <v>32</v>
      </c>
      <c r="D29" s="3" t="s">
        <v>586</v>
      </c>
      <c r="E29" s="3" t="s">
        <v>96</v>
      </c>
      <c r="F29" s="3" t="s">
        <v>65</v>
      </c>
      <c r="G29" s="3" t="s">
        <v>75</v>
      </c>
      <c r="H29" s="3" t="s">
        <v>128</v>
      </c>
      <c r="I29" s="3" t="s">
        <v>556</v>
      </c>
      <c r="J29" s="3" t="s">
        <v>573</v>
      </c>
      <c r="K29" s="3">
        <v>301.85000000000002</v>
      </c>
      <c r="L29" s="3">
        <v>3264.6</v>
      </c>
      <c r="M29" s="3">
        <v>985419.51</v>
      </c>
      <c r="N29" s="3">
        <v>0.18</v>
      </c>
      <c r="O29" s="3">
        <v>177.37550999999999</v>
      </c>
      <c r="P29" s="3">
        <v>21428.67</v>
      </c>
      <c r="Q29" s="3">
        <v>6.4000000000000005E-4</v>
      </c>
      <c r="R29" s="3">
        <v>1.371E-2</v>
      </c>
      <c r="S29" s="3" t="s">
        <v>549</v>
      </c>
      <c r="T29" s="3" t="s">
        <v>518</v>
      </c>
    </row>
    <row r="30" spans="1:20" x14ac:dyDescent="0.25">
      <c r="A30" s="2">
        <v>27</v>
      </c>
      <c r="B30" s="2">
        <v>2023</v>
      </c>
      <c r="C30" s="2" t="s">
        <v>39</v>
      </c>
      <c r="D30" s="2" t="s">
        <v>587</v>
      </c>
      <c r="E30" s="2" t="s">
        <v>204</v>
      </c>
      <c r="F30" s="2" t="s">
        <v>139</v>
      </c>
      <c r="G30" s="2" t="s">
        <v>23</v>
      </c>
      <c r="H30" s="2" t="s">
        <v>143</v>
      </c>
      <c r="I30" s="2" t="s">
        <v>570</v>
      </c>
      <c r="J30" s="2" t="s">
        <v>578</v>
      </c>
      <c r="K30" s="2">
        <v>130.44999999999999</v>
      </c>
      <c r="L30" s="2">
        <v>14860.6</v>
      </c>
      <c r="M30" s="2">
        <v>1938565.27</v>
      </c>
      <c r="N30" s="2">
        <v>1.6E-2</v>
      </c>
      <c r="O30" s="2">
        <v>31.017040000000001</v>
      </c>
      <c r="P30" s="2">
        <v>873.94</v>
      </c>
      <c r="Q30" s="2">
        <v>1.0499999999999999E-3</v>
      </c>
      <c r="R30" s="2">
        <v>9.2000000000000003E-4</v>
      </c>
      <c r="S30" s="2" t="s">
        <v>545</v>
      </c>
      <c r="T30" s="2" t="s">
        <v>546</v>
      </c>
    </row>
    <row r="31" spans="1:20" x14ac:dyDescent="0.25">
      <c r="A31" s="3">
        <v>28</v>
      </c>
      <c r="B31" s="3">
        <v>2023</v>
      </c>
      <c r="C31" s="3" t="s">
        <v>46</v>
      </c>
      <c r="D31" s="3" t="s">
        <v>588</v>
      </c>
      <c r="E31" s="3" t="s">
        <v>65</v>
      </c>
      <c r="F31" s="3" t="s">
        <v>54</v>
      </c>
      <c r="G31" s="3" t="s">
        <v>47</v>
      </c>
      <c r="H31" s="3" t="s">
        <v>112</v>
      </c>
      <c r="I31" s="3" t="s">
        <v>548</v>
      </c>
      <c r="J31" s="3" t="s">
        <v>578</v>
      </c>
      <c r="K31" s="3">
        <v>61.17</v>
      </c>
      <c r="L31" s="3">
        <v>972</v>
      </c>
      <c r="M31" s="3">
        <v>59457.24</v>
      </c>
      <c r="N31" s="3">
        <v>2.8000000000000001E-2</v>
      </c>
      <c r="O31" s="3">
        <v>1.6648000000000001</v>
      </c>
      <c r="P31" s="3">
        <v>19545.900000000001</v>
      </c>
      <c r="Q31" s="3">
        <v>7.6000000000000004E-4</v>
      </c>
      <c r="R31" s="3">
        <v>1.485E-2</v>
      </c>
      <c r="S31" s="3" t="s">
        <v>545</v>
      </c>
      <c r="T31" s="3" t="s">
        <v>546</v>
      </c>
    </row>
    <row r="32" spans="1:20" x14ac:dyDescent="0.25">
      <c r="A32" s="2">
        <v>29</v>
      </c>
      <c r="B32" s="2">
        <v>2023</v>
      </c>
      <c r="C32" s="2" t="s">
        <v>22</v>
      </c>
      <c r="D32" s="2" t="s">
        <v>589</v>
      </c>
      <c r="E32" s="2" t="s">
        <v>24</v>
      </c>
      <c r="F32" s="2" t="s">
        <v>70</v>
      </c>
      <c r="G32" s="2" t="s">
        <v>40</v>
      </c>
      <c r="H32" s="2" t="s">
        <v>106</v>
      </c>
      <c r="I32" s="2" t="s">
        <v>553</v>
      </c>
      <c r="J32" s="2" t="s">
        <v>576</v>
      </c>
      <c r="K32" s="2">
        <v>498.58</v>
      </c>
      <c r="L32" s="2">
        <v>3006.4</v>
      </c>
      <c r="M32" s="2">
        <v>1498930.91</v>
      </c>
      <c r="N32" s="2">
        <v>0.1</v>
      </c>
      <c r="O32" s="2">
        <v>149.89309</v>
      </c>
      <c r="P32" s="2">
        <v>16185.07</v>
      </c>
      <c r="Q32" s="2">
        <v>1.6900000000000001E-3</v>
      </c>
      <c r="R32" s="2">
        <v>2.7349999999999999E-2</v>
      </c>
      <c r="S32" s="2" t="s">
        <v>545</v>
      </c>
      <c r="T32" s="2" t="s">
        <v>546</v>
      </c>
    </row>
    <row r="33" spans="1:20" x14ac:dyDescent="0.25">
      <c r="A33" s="3">
        <v>30</v>
      </c>
      <c r="B33" s="3">
        <v>2023</v>
      </c>
      <c r="C33" s="3" t="s">
        <v>32</v>
      </c>
      <c r="D33" s="3" t="s">
        <v>590</v>
      </c>
      <c r="E33" s="3" t="s">
        <v>33</v>
      </c>
      <c r="F33" s="3" t="s">
        <v>154</v>
      </c>
      <c r="G33" s="3" t="s">
        <v>105</v>
      </c>
      <c r="H33" s="3" t="s">
        <v>114</v>
      </c>
      <c r="I33" s="3" t="s">
        <v>548</v>
      </c>
      <c r="J33" s="3" t="s">
        <v>564</v>
      </c>
      <c r="K33" s="3">
        <v>462.1</v>
      </c>
      <c r="L33" s="3">
        <v>6525.7</v>
      </c>
      <c r="M33" s="3">
        <v>3015525.97</v>
      </c>
      <c r="N33" s="3">
        <v>2.8000000000000001E-2</v>
      </c>
      <c r="O33" s="3">
        <v>84.434730000000002</v>
      </c>
      <c r="P33" s="3">
        <v>18138.330000000002</v>
      </c>
      <c r="Q33" s="3">
        <v>1.1900000000000001E-3</v>
      </c>
      <c r="R33" s="3">
        <v>2.1579999999999998E-2</v>
      </c>
      <c r="S33" s="3" t="s">
        <v>549</v>
      </c>
      <c r="T33" s="3" t="s">
        <v>546</v>
      </c>
    </row>
    <row r="34" spans="1:20" x14ac:dyDescent="0.25">
      <c r="A34" s="2">
        <v>31</v>
      </c>
      <c r="B34" s="2">
        <v>2023</v>
      </c>
      <c r="C34" s="2" t="s">
        <v>39</v>
      </c>
      <c r="D34" s="2" t="s">
        <v>591</v>
      </c>
      <c r="E34" s="2" t="s">
        <v>65</v>
      </c>
      <c r="F34" s="2" t="s">
        <v>154</v>
      </c>
      <c r="G34" s="2" t="s">
        <v>159</v>
      </c>
      <c r="H34" s="2" t="s">
        <v>99</v>
      </c>
      <c r="I34" s="2" t="s">
        <v>570</v>
      </c>
      <c r="J34" s="2" t="s">
        <v>551</v>
      </c>
      <c r="K34" s="2">
        <v>140.29</v>
      </c>
      <c r="L34" s="2">
        <v>13257.2</v>
      </c>
      <c r="M34" s="2">
        <v>1859852.59</v>
      </c>
      <c r="N34" s="2">
        <v>1.6E-2</v>
      </c>
      <c r="O34" s="2">
        <v>29.757639999999999</v>
      </c>
      <c r="P34" s="2">
        <v>962.77</v>
      </c>
      <c r="Q34" s="2">
        <v>1.39E-3</v>
      </c>
      <c r="R34" s="2">
        <v>1.34E-3</v>
      </c>
      <c r="S34" s="2" t="s">
        <v>545</v>
      </c>
      <c r="T34" s="2" t="s">
        <v>546</v>
      </c>
    </row>
    <row r="35" spans="1:20" x14ac:dyDescent="0.25">
      <c r="A35" s="3">
        <v>32</v>
      </c>
      <c r="B35" s="3">
        <v>2023</v>
      </c>
      <c r="C35" s="3" t="s">
        <v>46</v>
      </c>
      <c r="D35" s="3" t="s">
        <v>592</v>
      </c>
      <c r="E35" s="3" t="s">
        <v>139</v>
      </c>
      <c r="F35" s="3" t="s">
        <v>65</v>
      </c>
      <c r="G35" s="3" t="s">
        <v>23</v>
      </c>
      <c r="H35" s="3" t="s">
        <v>42</v>
      </c>
      <c r="I35" s="3" t="s">
        <v>553</v>
      </c>
      <c r="J35" s="3" t="s">
        <v>576</v>
      </c>
      <c r="K35" s="3">
        <v>140.25</v>
      </c>
      <c r="L35" s="3">
        <v>2101.6999999999998</v>
      </c>
      <c r="M35" s="3">
        <v>294763.42</v>
      </c>
      <c r="N35" s="3">
        <v>0.1</v>
      </c>
      <c r="O35" s="3">
        <v>29.47634</v>
      </c>
      <c r="P35" s="3">
        <v>5066.5</v>
      </c>
      <c r="Q35" s="3">
        <v>1.82E-3</v>
      </c>
      <c r="R35" s="3">
        <v>9.2200000000000008E-3</v>
      </c>
      <c r="S35" s="3" t="s">
        <v>545</v>
      </c>
      <c r="T35" s="3" t="s">
        <v>518</v>
      </c>
    </row>
    <row r="36" spans="1:20" x14ac:dyDescent="0.25">
      <c r="A36" s="2">
        <v>33</v>
      </c>
      <c r="B36" s="2">
        <v>2023</v>
      </c>
      <c r="C36" s="2" t="s">
        <v>22</v>
      </c>
      <c r="D36" s="2" t="s">
        <v>593</v>
      </c>
      <c r="E36" s="2" t="s">
        <v>88</v>
      </c>
      <c r="F36" s="2" t="s">
        <v>33</v>
      </c>
      <c r="G36" s="2" t="s">
        <v>133</v>
      </c>
      <c r="H36" s="2" t="s">
        <v>114</v>
      </c>
      <c r="I36" s="2" t="s">
        <v>570</v>
      </c>
      <c r="J36" s="2" t="s">
        <v>576</v>
      </c>
      <c r="K36" s="2">
        <v>240.1</v>
      </c>
      <c r="L36" s="2">
        <v>11732.5</v>
      </c>
      <c r="M36" s="2">
        <v>2816973.25</v>
      </c>
      <c r="N36" s="2">
        <v>1.6E-2</v>
      </c>
      <c r="O36" s="2">
        <v>45.071570000000001</v>
      </c>
      <c r="P36" s="2">
        <v>8666.4500000000007</v>
      </c>
      <c r="Q36" s="2">
        <v>1.31E-3</v>
      </c>
      <c r="R36" s="2">
        <v>1.1350000000000001E-2</v>
      </c>
      <c r="S36" s="2" t="s">
        <v>545</v>
      </c>
      <c r="T36" s="2" t="s">
        <v>518</v>
      </c>
    </row>
    <row r="37" spans="1:20" x14ac:dyDescent="0.25">
      <c r="A37" s="3">
        <v>34</v>
      </c>
      <c r="B37" s="3">
        <v>2023</v>
      </c>
      <c r="C37" s="3" t="s">
        <v>32</v>
      </c>
      <c r="D37" s="3" t="s">
        <v>594</v>
      </c>
      <c r="E37" s="3" t="s">
        <v>204</v>
      </c>
      <c r="F37" s="3" t="s">
        <v>139</v>
      </c>
      <c r="G37" s="3" t="s">
        <v>75</v>
      </c>
      <c r="H37" s="3" t="s">
        <v>42</v>
      </c>
      <c r="I37" s="3" t="s">
        <v>548</v>
      </c>
      <c r="J37" s="3" t="s">
        <v>595</v>
      </c>
      <c r="K37" s="3">
        <v>15.14</v>
      </c>
      <c r="L37" s="3">
        <v>12169.8</v>
      </c>
      <c r="M37" s="3">
        <v>184250.77</v>
      </c>
      <c r="N37" s="3">
        <v>2.8000000000000001E-2</v>
      </c>
      <c r="O37" s="3">
        <v>5.1590199999999999</v>
      </c>
      <c r="P37" s="3">
        <v>7095.22</v>
      </c>
      <c r="Q37" s="3">
        <v>1.6900000000000001E-3</v>
      </c>
      <c r="R37" s="3">
        <v>1.1990000000000001E-2</v>
      </c>
      <c r="S37" s="3" t="s">
        <v>549</v>
      </c>
      <c r="T37" s="3" t="s">
        <v>546</v>
      </c>
    </row>
    <row r="38" spans="1:20" ht="24" x14ac:dyDescent="0.25">
      <c r="A38" s="2">
        <v>35</v>
      </c>
      <c r="B38" s="2">
        <v>2023</v>
      </c>
      <c r="C38" s="2" t="s">
        <v>39</v>
      </c>
      <c r="D38" s="2" t="s">
        <v>596</v>
      </c>
      <c r="E38" s="2" t="s">
        <v>96</v>
      </c>
      <c r="F38" s="2" t="s">
        <v>120</v>
      </c>
      <c r="G38" s="2" t="s">
        <v>53</v>
      </c>
      <c r="H38" s="2" t="s">
        <v>49</v>
      </c>
      <c r="I38" s="2" t="s">
        <v>553</v>
      </c>
      <c r="J38" s="2" t="s">
        <v>551</v>
      </c>
      <c r="K38" s="2">
        <v>124.3</v>
      </c>
      <c r="L38" s="2">
        <v>3655.2</v>
      </c>
      <c r="M38" s="2">
        <v>454341.36</v>
      </c>
      <c r="N38" s="2">
        <v>0.1</v>
      </c>
      <c r="O38" s="2">
        <v>45.434139999999999</v>
      </c>
      <c r="P38" s="2">
        <v>13388.87</v>
      </c>
      <c r="Q38" s="2">
        <v>1.67E-3</v>
      </c>
      <c r="R38" s="2">
        <v>2.2360000000000001E-2</v>
      </c>
      <c r="S38" s="2" t="s">
        <v>545</v>
      </c>
      <c r="T38" s="2" t="s">
        <v>546</v>
      </c>
    </row>
    <row r="39" spans="1:20" ht="24" x14ac:dyDescent="0.25">
      <c r="A39" s="3">
        <v>36</v>
      </c>
      <c r="B39" s="3">
        <v>2023</v>
      </c>
      <c r="C39" s="3" t="s">
        <v>46</v>
      </c>
      <c r="D39" s="3" t="s">
        <v>597</v>
      </c>
      <c r="E39" s="3" t="s">
        <v>58</v>
      </c>
      <c r="F39" s="3" t="s">
        <v>120</v>
      </c>
      <c r="G39" s="3" t="s">
        <v>75</v>
      </c>
      <c r="H39" s="3" t="s">
        <v>49</v>
      </c>
      <c r="I39" s="3" t="s">
        <v>548</v>
      </c>
      <c r="J39" s="3" t="s">
        <v>595</v>
      </c>
      <c r="K39" s="3">
        <v>118.66</v>
      </c>
      <c r="L39" s="3">
        <v>4804.2</v>
      </c>
      <c r="M39" s="3">
        <v>570066.37</v>
      </c>
      <c r="N39" s="3">
        <v>2.8000000000000001E-2</v>
      </c>
      <c r="O39" s="3">
        <v>15.96186</v>
      </c>
      <c r="P39" s="3">
        <v>18478.82</v>
      </c>
      <c r="Q39" s="3">
        <v>9.7000000000000005E-4</v>
      </c>
      <c r="R39" s="3">
        <v>1.7919999999999998E-2</v>
      </c>
      <c r="S39" s="3" t="s">
        <v>549</v>
      </c>
      <c r="T39" s="3" t="s">
        <v>518</v>
      </c>
    </row>
    <row r="40" spans="1:20" x14ac:dyDescent="0.25">
      <c r="A40" s="2">
        <v>37</v>
      </c>
      <c r="B40" s="2">
        <v>2023</v>
      </c>
      <c r="C40" s="2" t="s">
        <v>22</v>
      </c>
      <c r="D40" s="2" t="s">
        <v>598</v>
      </c>
      <c r="E40" s="2" t="s">
        <v>110</v>
      </c>
      <c r="F40" s="2" t="s">
        <v>204</v>
      </c>
      <c r="G40" s="2" t="s">
        <v>64</v>
      </c>
      <c r="H40" s="2" t="s">
        <v>106</v>
      </c>
      <c r="I40" s="2" t="s">
        <v>548</v>
      </c>
      <c r="J40" s="2" t="s">
        <v>576</v>
      </c>
      <c r="K40" s="2">
        <v>418.43</v>
      </c>
      <c r="L40" s="2">
        <v>12165.5</v>
      </c>
      <c r="M40" s="2">
        <v>5090410.17</v>
      </c>
      <c r="N40" s="2">
        <v>2.8000000000000001E-2</v>
      </c>
      <c r="O40" s="2">
        <v>142.53147999999999</v>
      </c>
      <c r="P40" s="2">
        <v>24262.65</v>
      </c>
      <c r="Q40" s="2">
        <v>1.2700000000000001E-3</v>
      </c>
      <c r="R40" s="2">
        <v>3.0810000000000001E-2</v>
      </c>
      <c r="S40" s="2" t="s">
        <v>549</v>
      </c>
      <c r="T40" s="2" t="s">
        <v>518</v>
      </c>
    </row>
    <row r="41" spans="1:20" x14ac:dyDescent="0.25">
      <c r="A41" s="3">
        <v>38</v>
      </c>
      <c r="B41" s="3">
        <v>2023</v>
      </c>
      <c r="C41" s="3" t="s">
        <v>32</v>
      </c>
      <c r="D41" s="3" t="s">
        <v>599</v>
      </c>
      <c r="E41" s="3" t="s">
        <v>92</v>
      </c>
      <c r="F41" s="3" t="s">
        <v>110</v>
      </c>
      <c r="G41" s="3" t="s">
        <v>40</v>
      </c>
      <c r="H41" s="3" t="s">
        <v>140</v>
      </c>
      <c r="I41" s="3" t="s">
        <v>548</v>
      </c>
      <c r="J41" s="3" t="s">
        <v>544</v>
      </c>
      <c r="K41" s="3">
        <v>10.45</v>
      </c>
      <c r="L41" s="3">
        <v>7195.9</v>
      </c>
      <c r="M41" s="3">
        <v>75197.149999999994</v>
      </c>
      <c r="N41" s="3">
        <v>2.8000000000000001E-2</v>
      </c>
      <c r="O41" s="3">
        <v>2.1055199999999998</v>
      </c>
      <c r="P41" s="3">
        <v>8360.18</v>
      </c>
      <c r="Q41" s="3">
        <v>1.3799999999999999E-3</v>
      </c>
      <c r="R41" s="3">
        <v>1.154E-2</v>
      </c>
      <c r="S41" s="3" t="s">
        <v>545</v>
      </c>
      <c r="T41" s="3" t="s">
        <v>546</v>
      </c>
    </row>
    <row r="42" spans="1:20" x14ac:dyDescent="0.25">
      <c r="A42" s="2">
        <v>39</v>
      </c>
      <c r="B42" s="2">
        <v>2023</v>
      </c>
      <c r="C42" s="2" t="s">
        <v>39</v>
      </c>
      <c r="D42" s="2" t="s">
        <v>600</v>
      </c>
      <c r="E42" s="2" t="s">
        <v>139</v>
      </c>
      <c r="F42" s="2" t="s">
        <v>54</v>
      </c>
      <c r="G42" s="2" t="s">
        <v>75</v>
      </c>
      <c r="H42" s="2" t="s">
        <v>106</v>
      </c>
      <c r="I42" s="2" t="s">
        <v>553</v>
      </c>
      <c r="J42" s="2" t="s">
        <v>564</v>
      </c>
      <c r="K42" s="2">
        <v>74.28</v>
      </c>
      <c r="L42" s="2">
        <v>10585.2</v>
      </c>
      <c r="M42" s="2">
        <v>786268.66</v>
      </c>
      <c r="N42" s="2">
        <v>0.1</v>
      </c>
      <c r="O42" s="2">
        <v>78.626869999999997</v>
      </c>
      <c r="P42" s="2">
        <v>3627.15</v>
      </c>
      <c r="Q42" s="2">
        <v>5.8E-4</v>
      </c>
      <c r="R42" s="2">
        <v>2.0999999999999999E-3</v>
      </c>
      <c r="S42" s="2" t="s">
        <v>545</v>
      </c>
      <c r="T42" s="2" t="s">
        <v>518</v>
      </c>
    </row>
    <row r="43" spans="1:20" x14ac:dyDescent="0.25">
      <c r="A43" s="3">
        <v>40</v>
      </c>
      <c r="B43" s="3">
        <v>2023</v>
      </c>
      <c r="C43" s="3" t="s">
        <v>46</v>
      </c>
      <c r="D43" s="3" t="s">
        <v>601</v>
      </c>
      <c r="E43" s="3" t="s">
        <v>33</v>
      </c>
      <c r="F43" s="3" t="s">
        <v>92</v>
      </c>
      <c r="G43" s="3" t="s">
        <v>102</v>
      </c>
      <c r="H43" s="3" t="s">
        <v>67</v>
      </c>
      <c r="I43" s="3" t="s">
        <v>553</v>
      </c>
      <c r="J43" s="3" t="s">
        <v>564</v>
      </c>
      <c r="K43" s="3">
        <v>168.61</v>
      </c>
      <c r="L43" s="3">
        <v>4872.8999999999996</v>
      </c>
      <c r="M43" s="3">
        <v>821619.67</v>
      </c>
      <c r="N43" s="3">
        <v>0.1</v>
      </c>
      <c r="O43" s="3">
        <v>82.161969999999997</v>
      </c>
      <c r="P43" s="3">
        <v>24398.93</v>
      </c>
      <c r="Q43" s="3">
        <v>1.57E-3</v>
      </c>
      <c r="R43" s="3">
        <v>3.8309999999999997E-2</v>
      </c>
      <c r="S43" s="3" t="s">
        <v>549</v>
      </c>
      <c r="T43" s="3" t="s">
        <v>518</v>
      </c>
    </row>
    <row r="44" spans="1:20" x14ac:dyDescent="0.25">
      <c r="A44" s="2">
        <v>41</v>
      </c>
      <c r="B44" s="2">
        <v>2023</v>
      </c>
      <c r="C44" s="2" t="s">
        <v>22</v>
      </c>
      <c r="D44" s="2" t="s">
        <v>602</v>
      </c>
      <c r="E44" s="2" t="s">
        <v>58</v>
      </c>
      <c r="F44" s="2" t="s">
        <v>54</v>
      </c>
      <c r="G44" s="2" t="s">
        <v>183</v>
      </c>
      <c r="H44" s="2" t="s">
        <v>128</v>
      </c>
      <c r="I44" s="2" t="s">
        <v>543</v>
      </c>
      <c r="J44" s="2" t="s">
        <v>557</v>
      </c>
      <c r="K44" s="2">
        <v>346.93</v>
      </c>
      <c r="L44" s="2">
        <v>13936.2</v>
      </c>
      <c r="M44" s="2">
        <v>4834885.87</v>
      </c>
      <c r="N44" s="2">
        <v>3.3000000000000002E-2</v>
      </c>
      <c r="O44" s="2">
        <v>159.55123</v>
      </c>
      <c r="P44" s="2">
        <v>19696.099999999999</v>
      </c>
      <c r="Q44" s="2">
        <v>7.6000000000000004E-4</v>
      </c>
      <c r="R44" s="2">
        <v>1.4970000000000001E-2</v>
      </c>
      <c r="S44" s="2" t="s">
        <v>545</v>
      </c>
      <c r="T44" s="2" t="s">
        <v>546</v>
      </c>
    </row>
    <row r="45" spans="1:20" x14ac:dyDescent="0.25">
      <c r="A45" s="3">
        <v>42</v>
      </c>
      <c r="B45" s="3">
        <v>2023</v>
      </c>
      <c r="C45" s="3" t="s">
        <v>32</v>
      </c>
      <c r="D45" s="3" t="s">
        <v>603</v>
      </c>
      <c r="E45" s="3" t="s">
        <v>92</v>
      </c>
      <c r="F45" s="3" t="s">
        <v>58</v>
      </c>
      <c r="G45" s="3" t="s">
        <v>64</v>
      </c>
      <c r="H45" s="3" t="s">
        <v>114</v>
      </c>
      <c r="I45" s="3" t="s">
        <v>548</v>
      </c>
      <c r="J45" s="3" t="s">
        <v>595</v>
      </c>
      <c r="K45" s="3">
        <v>364.55</v>
      </c>
      <c r="L45" s="3">
        <v>14234.4</v>
      </c>
      <c r="M45" s="3">
        <v>5189150.5199999996</v>
      </c>
      <c r="N45" s="3">
        <v>2.8000000000000001E-2</v>
      </c>
      <c r="O45" s="3">
        <v>145.29621</v>
      </c>
      <c r="P45" s="3">
        <v>23722.58</v>
      </c>
      <c r="Q45" s="3">
        <v>1.0300000000000001E-3</v>
      </c>
      <c r="R45" s="3">
        <v>2.443E-2</v>
      </c>
      <c r="S45" s="3" t="s">
        <v>545</v>
      </c>
      <c r="T45" s="3" t="s">
        <v>518</v>
      </c>
    </row>
    <row r="46" spans="1:20" x14ac:dyDescent="0.25">
      <c r="A46" s="2">
        <v>43</v>
      </c>
      <c r="B46" s="2">
        <v>2023</v>
      </c>
      <c r="C46" s="2" t="s">
        <v>39</v>
      </c>
      <c r="D46" s="2" t="s">
        <v>604</v>
      </c>
      <c r="E46" s="2" t="s">
        <v>24</v>
      </c>
      <c r="F46" s="2" t="s">
        <v>65</v>
      </c>
      <c r="G46" s="2" t="s">
        <v>75</v>
      </c>
      <c r="H46" s="2" t="s">
        <v>112</v>
      </c>
      <c r="I46" s="2" t="s">
        <v>548</v>
      </c>
      <c r="J46" s="2" t="s">
        <v>544</v>
      </c>
      <c r="K46" s="2">
        <v>320</v>
      </c>
      <c r="L46" s="2">
        <v>1606.4</v>
      </c>
      <c r="M46" s="2">
        <v>514048</v>
      </c>
      <c r="N46" s="2">
        <v>2.8000000000000001E-2</v>
      </c>
      <c r="O46" s="2">
        <v>14.39334</v>
      </c>
      <c r="P46" s="2">
        <v>12455.01</v>
      </c>
      <c r="Q46" s="2">
        <v>9.3000000000000005E-4</v>
      </c>
      <c r="R46" s="2">
        <v>1.158E-2</v>
      </c>
      <c r="S46" s="2" t="s">
        <v>549</v>
      </c>
      <c r="T46" s="2" t="s">
        <v>518</v>
      </c>
    </row>
    <row r="47" spans="1:20" x14ac:dyDescent="0.25">
      <c r="A47" s="3">
        <v>44</v>
      </c>
      <c r="B47" s="3">
        <v>2023</v>
      </c>
      <c r="C47" s="3" t="s">
        <v>46</v>
      </c>
      <c r="D47" s="3" t="s">
        <v>605</v>
      </c>
      <c r="E47" s="3" t="s">
        <v>65</v>
      </c>
      <c r="F47" s="3" t="s">
        <v>96</v>
      </c>
      <c r="G47" s="3" t="s">
        <v>57</v>
      </c>
      <c r="H47" s="3" t="s">
        <v>112</v>
      </c>
      <c r="I47" s="3" t="s">
        <v>556</v>
      </c>
      <c r="J47" s="3" t="s">
        <v>557</v>
      </c>
      <c r="K47" s="3">
        <v>319.73</v>
      </c>
      <c r="L47" s="3">
        <v>13305.5</v>
      </c>
      <c r="M47" s="3">
        <v>4254167.5199999996</v>
      </c>
      <c r="N47" s="3">
        <v>0.18</v>
      </c>
      <c r="O47" s="3">
        <v>765.75014999999996</v>
      </c>
      <c r="P47" s="3">
        <v>11221.09</v>
      </c>
      <c r="Q47" s="3">
        <v>8.1999999999999998E-4</v>
      </c>
      <c r="R47" s="3">
        <v>9.1999999999999998E-3</v>
      </c>
      <c r="S47" s="3" t="s">
        <v>549</v>
      </c>
      <c r="T47" s="3" t="s">
        <v>518</v>
      </c>
    </row>
    <row r="48" spans="1:20" x14ac:dyDescent="0.25">
      <c r="A48" s="2">
        <v>45</v>
      </c>
      <c r="B48" s="2">
        <v>2023</v>
      </c>
      <c r="C48" s="2" t="s">
        <v>22</v>
      </c>
      <c r="D48" s="2" t="s">
        <v>606</v>
      </c>
      <c r="E48" s="2" t="s">
        <v>33</v>
      </c>
      <c r="F48" s="2" t="s">
        <v>204</v>
      </c>
      <c r="G48" s="2" t="s">
        <v>47</v>
      </c>
      <c r="H48" s="2" t="s">
        <v>112</v>
      </c>
      <c r="I48" s="2" t="s">
        <v>553</v>
      </c>
      <c r="J48" s="2" t="s">
        <v>573</v>
      </c>
      <c r="K48" s="2">
        <v>24.55</v>
      </c>
      <c r="L48" s="2">
        <v>6601.4</v>
      </c>
      <c r="M48" s="2">
        <v>162064.37</v>
      </c>
      <c r="N48" s="2">
        <v>0.1</v>
      </c>
      <c r="O48" s="2">
        <v>16.206440000000001</v>
      </c>
      <c r="P48" s="2">
        <v>10549.37</v>
      </c>
      <c r="Q48" s="2">
        <v>6.7000000000000002E-4</v>
      </c>
      <c r="R48" s="2">
        <v>7.0699999999999999E-3</v>
      </c>
      <c r="S48" s="2" t="s">
        <v>545</v>
      </c>
      <c r="T48" s="2" t="s">
        <v>546</v>
      </c>
    </row>
    <row r="49" spans="1:20" ht="24" x14ac:dyDescent="0.25">
      <c r="A49" s="3">
        <v>46</v>
      </c>
      <c r="B49" s="3">
        <v>2023</v>
      </c>
      <c r="C49" s="3" t="s">
        <v>32</v>
      </c>
      <c r="D49" s="3" t="s">
        <v>607</v>
      </c>
      <c r="E49" s="3" t="s">
        <v>204</v>
      </c>
      <c r="F49" s="3" t="s">
        <v>24</v>
      </c>
      <c r="G49" s="3" t="s">
        <v>64</v>
      </c>
      <c r="H49" s="3" t="s">
        <v>72</v>
      </c>
      <c r="I49" s="3" t="s">
        <v>560</v>
      </c>
      <c r="J49" s="3" t="s">
        <v>576</v>
      </c>
      <c r="K49" s="3">
        <v>394.47</v>
      </c>
      <c r="L49" s="3">
        <v>8691.9</v>
      </c>
      <c r="M49" s="3">
        <v>3428693.79</v>
      </c>
      <c r="N49" s="3">
        <v>0.95</v>
      </c>
      <c r="O49" s="3">
        <v>3257.2591000000002</v>
      </c>
      <c r="P49" s="3">
        <v>18980.259999999998</v>
      </c>
      <c r="Q49" s="3">
        <v>7.6000000000000004E-4</v>
      </c>
      <c r="R49" s="3">
        <v>1.4420000000000001E-2</v>
      </c>
      <c r="S49" s="3" t="s">
        <v>545</v>
      </c>
      <c r="T49" s="3" t="s">
        <v>554</v>
      </c>
    </row>
    <row r="50" spans="1:20" x14ac:dyDescent="0.25">
      <c r="A50" s="2">
        <v>47</v>
      </c>
      <c r="B50" s="2">
        <v>2023</v>
      </c>
      <c r="C50" s="2" t="s">
        <v>39</v>
      </c>
      <c r="D50" s="2" t="s">
        <v>608</v>
      </c>
      <c r="E50" s="2" t="s">
        <v>139</v>
      </c>
      <c r="F50" s="2" t="s">
        <v>70</v>
      </c>
      <c r="G50" s="2" t="s">
        <v>57</v>
      </c>
      <c r="H50" s="2" t="s">
        <v>112</v>
      </c>
      <c r="I50" s="2" t="s">
        <v>553</v>
      </c>
      <c r="J50" s="2" t="s">
        <v>595</v>
      </c>
      <c r="K50" s="2">
        <v>37.56</v>
      </c>
      <c r="L50" s="2">
        <v>2593.1</v>
      </c>
      <c r="M50" s="2">
        <v>97396.84</v>
      </c>
      <c r="N50" s="2">
        <v>0.1</v>
      </c>
      <c r="O50" s="2">
        <v>9.7396799999999999</v>
      </c>
      <c r="P50" s="2">
        <v>9448.9</v>
      </c>
      <c r="Q50" s="2">
        <v>1.57E-3</v>
      </c>
      <c r="R50" s="2">
        <v>1.4829999999999999E-2</v>
      </c>
      <c r="S50" s="2" t="s">
        <v>545</v>
      </c>
      <c r="T50" s="2" t="s">
        <v>518</v>
      </c>
    </row>
    <row r="51" spans="1:20" x14ac:dyDescent="0.25">
      <c r="A51" s="3">
        <v>48</v>
      </c>
      <c r="B51" s="3">
        <v>2023</v>
      </c>
      <c r="C51" s="3" t="s">
        <v>46</v>
      </c>
      <c r="D51" s="3" t="s">
        <v>609</v>
      </c>
      <c r="E51" s="3" t="s">
        <v>120</v>
      </c>
      <c r="F51" s="3" t="s">
        <v>24</v>
      </c>
      <c r="G51" s="3" t="s">
        <v>40</v>
      </c>
      <c r="H51" s="3" t="s">
        <v>143</v>
      </c>
      <c r="I51" s="3" t="s">
        <v>553</v>
      </c>
      <c r="J51" s="3" t="s">
        <v>566</v>
      </c>
      <c r="K51" s="3">
        <v>215.95</v>
      </c>
      <c r="L51" s="3">
        <v>9821.7999999999993</v>
      </c>
      <c r="M51" s="3">
        <v>2121017.71</v>
      </c>
      <c r="N51" s="3">
        <v>0.1</v>
      </c>
      <c r="O51" s="3">
        <v>212.10176999999999</v>
      </c>
      <c r="P51" s="3">
        <v>15222.21</v>
      </c>
      <c r="Q51" s="3">
        <v>1.09E-3</v>
      </c>
      <c r="R51" s="3">
        <v>1.6590000000000001E-2</v>
      </c>
      <c r="S51" s="3" t="s">
        <v>545</v>
      </c>
      <c r="T51" s="3" t="s">
        <v>518</v>
      </c>
    </row>
    <row r="52" spans="1:20" x14ac:dyDescent="0.25">
      <c r="A52" s="2">
        <v>49</v>
      </c>
      <c r="B52" s="2">
        <v>2023</v>
      </c>
      <c r="C52" s="2" t="s">
        <v>22</v>
      </c>
      <c r="D52" s="2" t="s">
        <v>610</v>
      </c>
      <c r="E52" s="2" t="s">
        <v>65</v>
      </c>
      <c r="F52" s="2" t="s">
        <v>24</v>
      </c>
      <c r="G52" s="2" t="s">
        <v>64</v>
      </c>
      <c r="H52" s="2" t="s">
        <v>128</v>
      </c>
      <c r="I52" s="2" t="s">
        <v>543</v>
      </c>
      <c r="J52" s="2" t="s">
        <v>595</v>
      </c>
      <c r="K52" s="2">
        <v>361.16</v>
      </c>
      <c r="L52" s="2">
        <v>10963.1</v>
      </c>
      <c r="M52" s="2">
        <v>3959433.2</v>
      </c>
      <c r="N52" s="2">
        <v>3.3000000000000002E-2</v>
      </c>
      <c r="O52" s="2">
        <v>130.66130000000001</v>
      </c>
      <c r="P52" s="2">
        <v>6705.09</v>
      </c>
      <c r="Q52" s="2">
        <v>8.4999999999999995E-4</v>
      </c>
      <c r="R52" s="2">
        <v>5.7000000000000002E-3</v>
      </c>
      <c r="S52" s="2" t="s">
        <v>545</v>
      </c>
      <c r="T52" s="2" t="s">
        <v>546</v>
      </c>
    </row>
    <row r="53" spans="1:20" x14ac:dyDescent="0.25">
      <c r="A53" s="3">
        <v>50</v>
      </c>
      <c r="B53" s="3">
        <v>2023</v>
      </c>
      <c r="C53" s="3" t="s">
        <v>32</v>
      </c>
      <c r="D53" s="3" t="s">
        <v>611</v>
      </c>
      <c r="E53" s="3" t="s">
        <v>58</v>
      </c>
      <c r="F53" s="3" t="s">
        <v>204</v>
      </c>
      <c r="G53" s="3" t="s">
        <v>95</v>
      </c>
      <c r="H53" s="3" t="s">
        <v>106</v>
      </c>
      <c r="I53" s="3" t="s">
        <v>553</v>
      </c>
      <c r="J53" s="3" t="s">
        <v>576</v>
      </c>
      <c r="K53" s="3">
        <v>180.73</v>
      </c>
      <c r="L53" s="3">
        <v>6442.7</v>
      </c>
      <c r="M53" s="3">
        <v>1164389.17</v>
      </c>
      <c r="N53" s="3">
        <v>0.1</v>
      </c>
      <c r="O53" s="3">
        <v>116.43892</v>
      </c>
      <c r="P53" s="3">
        <v>7434.28</v>
      </c>
      <c r="Q53" s="3">
        <v>1.4599999999999999E-3</v>
      </c>
      <c r="R53" s="3">
        <v>1.085E-2</v>
      </c>
      <c r="S53" s="3" t="s">
        <v>549</v>
      </c>
      <c r="T53" s="3" t="s">
        <v>546</v>
      </c>
    </row>
    <row r="54" spans="1:20" x14ac:dyDescent="0.25">
      <c r="A54" s="2">
        <v>51</v>
      </c>
      <c r="B54" s="2">
        <v>2023</v>
      </c>
      <c r="C54" s="2" t="s">
        <v>39</v>
      </c>
      <c r="D54" s="2" t="s">
        <v>612</v>
      </c>
      <c r="E54" s="2" t="s">
        <v>33</v>
      </c>
      <c r="F54" s="2" t="s">
        <v>204</v>
      </c>
      <c r="G54" s="2" t="s">
        <v>102</v>
      </c>
      <c r="H54" s="2" t="s">
        <v>35</v>
      </c>
      <c r="I54" s="2" t="s">
        <v>556</v>
      </c>
      <c r="J54" s="2" t="s">
        <v>557</v>
      </c>
      <c r="K54" s="2">
        <v>146.26</v>
      </c>
      <c r="L54" s="2">
        <v>1274.9000000000001</v>
      </c>
      <c r="M54" s="2">
        <v>186466.87</v>
      </c>
      <c r="N54" s="2">
        <v>0.18</v>
      </c>
      <c r="O54" s="2">
        <v>33.564039999999999</v>
      </c>
      <c r="P54" s="2">
        <v>21109.85</v>
      </c>
      <c r="Q54" s="2">
        <v>8.8999999999999995E-4</v>
      </c>
      <c r="R54" s="2">
        <v>1.8790000000000001E-2</v>
      </c>
      <c r="S54" s="2" t="s">
        <v>549</v>
      </c>
      <c r="T54" s="2" t="s">
        <v>518</v>
      </c>
    </row>
    <row r="55" spans="1:20" ht="24" x14ac:dyDescent="0.25">
      <c r="A55" s="3">
        <v>52</v>
      </c>
      <c r="B55" s="3">
        <v>2023</v>
      </c>
      <c r="C55" s="3" t="s">
        <v>46</v>
      </c>
      <c r="D55" s="3" t="s">
        <v>613</v>
      </c>
      <c r="E55" s="3" t="s">
        <v>120</v>
      </c>
      <c r="F55" s="3" t="s">
        <v>117</v>
      </c>
      <c r="G55" s="3" t="s">
        <v>109</v>
      </c>
      <c r="H55" s="3" t="s">
        <v>99</v>
      </c>
      <c r="I55" s="3" t="s">
        <v>543</v>
      </c>
      <c r="J55" s="3" t="s">
        <v>557</v>
      </c>
      <c r="K55" s="3">
        <v>194.07</v>
      </c>
      <c r="L55" s="3">
        <v>5596.8</v>
      </c>
      <c r="M55" s="3">
        <v>1086170.98</v>
      </c>
      <c r="N55" s="3">
        <v>3.3000000000000002E-2</v>
      </c>
      <c r="O55" s="3">
        <v>35.843640000000001</v>
      </c>
      <c r="P55" s="3">
        <v>9597.99</v>
      </c>
      <c r="Q55" s="3">
        <v>6.9999999999999999E-4</v>
      </c>
      <c r="R55" s="3">
        <v>6.7200000000000003E-3</v>
      </c>
      <c r="S55" s="3" t="s">
        <v>549</v>
      </c>
      <c r="T55" s="3" t="s">
        <v>554</v>
      </c>
    </row>
    <row r="56" spans="1:20" x14ac:dyDescent="0.25">
      <c r="A56" s="2">
        <v>53</v>
      </c>
      <c r="B56" s="2">
        <v>2023</v>
      </c>
      <c r="C56" s="2" t="s">
        <v>22</v>
      </c>
      <c r="D56" s="2" t="s">
        <v>614</v>
      </c>
      <c r="E56" s="2" t="s">
        <v>88</v>
      </c>
      <c r="F56" s="2" t="s">
        <v>92</v>
      </c>
      <c r="G56" s="2" t="s">
        <v>23</v>
      </c>
      <c r="H56" s="2" t="s">
        <v>128</v>
      </c>
      <c r="I56" s="2" t="s">
        <v>543</v>
      </c>
      <c r="J56" s="2" t="s">
        <v>595</v>
      </c>
      <c r="K56" s="2">
        <v>31.29</v>
      </c>
      <c r="L56" s="2">
        <v>11295.9</v>
      </c>
      <c r="M56" s="2">
        <v>353448.71</v>
      </c>
      <c r="N56" s="2">
        <v>3.3000000000000002E-2</v>
      </c>
      <c r="O56" s="2">
        <v>11.66381</v>
      </c>
      <c r="P56" s="2">
        <v>16719.96</v>
      </c>
      <c r="Q56" s="2">
        <v>5.4000000000000001E-4</v>
      </c>
      <c r="R56" s="2">
        <v>9.0299999999999998E-3</v>
      </c>
      <c r="S56" s="2" t="s">
        <v>549</v>
      </c>
      <c r="T56" s="2" t="s">
        <v>518</v>
      </c>
    </row>
    <row r="57" spans="1:20" ht="24" x14ac:dyDescent="0.25">
      <c r="A57" s="3">
        <v>54</v>
      </c>
      <c r="B57" s="3">
        <v>2023</v>
      </c>
      <c r="C57" s="3" t="s">
        <v>32</v>
      </c>
      <c r="D57" s="3" t="s">
        <v>615</v>
      </c>
      <c r="E57" s="3" t="s">
        <v>54</v>
      </c>
      <c r="F57" s="3" t="s">
        <v>70</v>
      </c>
      <c r="G57" s="3" t="s">
        <v>102</v>
      </c>
      <c r="H57" s="3" t="s">
        <v>49</v>
      </c>
      <c r="I57" s="3" t="s">
        <v>553</v>
      </c>
      <c r="J57" s="3" t="s">
        <v>566</v>
      </c>
      <c r="K57" s="3">
        <v>420.48</v>
      </c>
      <c r="L57" s="3">
        <v>12285.2</v>
      </c>
      <c r="M57" s="3">
        <v>5165680.9000000004</v>
      </c>
      <c r="N57" s="3">
        <v>0.1</v>
      </c>
      <c r="O57" s="3">
        <v>516.56808999999998</v>
      </c>
      <c r="P57" s="3">
        <v>10523.94</v>
      </c>
      <c r="Q57" s="3">
        <v>1.2600000000000001E-3</v>
      </c>
      <c r="R57" s="3">
        <v>1.3259999999999999E-2</v>
      </c>
      <c r="S57" s="3" t="s">
        <v>545</v>
      </c>
      <c r="T57" s="3" t="s">
        <v>554</v>
      </c>
    </row>
    <row r="58" spans="1:20" x14ac:dyDescent="0.25">
      <c r="A58" s="2">
        <v>55</v>
      </c>
      <c r="B58" s="2">
        <v>2023</v>
      </c>
      <c r="C58" s="2" t="s">
        <v>39</v>
      </c>
      <c r="D58" s="2" t="s">
        <v>616</v>
      </c>
      <c r="E58" s="2" t="s">
        <v>139</v>
      </c>
      <c r="F58" s="2" t="s">
        <v>92</v>
      </c>
      <c r="G58" s="2" t="s">
        <v>166</v>
      </c>
      <c r="H58" s="2" t="s">
        <v>67</v>
      </c>
      <c r="I58" s="2" t="s">
        <v>553</v>
      </c>
      <c r="J58" s="2" t="s">
        <v>595</v>
      </c>
      <c r="K58" s="2">
        <v>197.7</v>
      </c>
      <c r="L58" s="2">
        <v>12816.4</v>
      </c>
      <c r="M58" s="2">
        <v>2533802.2799999998</v>
      </c>
      <c r="N58" s="2">
        <v>0.1</v>
      </c>
      <c r="O58" s="2">
        <v>253.38023000000001</v>
      </c>
      <c r="P58" s="2">
        <v>964.74</v>
      </c>
      <c r="Q58" s="2">
        <v>1.31E-3</v>
      </c>
      <c r="R58" s="2">
        <v>1.2600000000000001E-3</v>
      </c>
      <c r="S58" s="2" t="s">
        <v>549</v>
      </c>
      <c r="T58" s="2" t="s">
        <v>546</v>
      </c>
    </row>
    <row r="59" spans="1:20" x14ac:dyDescent="0.25">
      <c r="A59" s="3">
        <v>56</v>
      </c>
      <c r="B59" s="3">
        <v>2023</v>
      </c>
      <c r="C59" s="3" t="s">
        <v>46</v>
      </c>
      <c r="D59" s="3" t="s">
        <v>617</v>
      </c>
      <c r="E59" s="3" t="s">
        <v>110</v>
      </c>
      <c r="F59" s="3" t="s">
        <v>120</v>
      </c>
      <c r="G59" s="3" t="s">
        <v>105</v>
      </c>
      <c r="H59" s="3" t="s">
        <v>106</v>
      </c>
      <c r="I59" s="3" t="s">
        <v>560</v>
      </c>
      <c r="J59" s="3" t="s">
        <v>551</v>
      </c>
      <c r="K59" s="3">
        <v>86.85</v>
      </c>
      <c r="L59" s="3">
        <v>14766.3</v>
      </c>
      <c r="M59" s="3">
        <v>1282453.1499999999</v>
      </c>
      <c r="N59" s="3">
        <v>0.95</v>
      </c>
      <c r="O59" s="3">
        <v>1218.3304900000001</v>
      </c>
      <c r="P59" s="3">
        <v>24306.91</v>
      </c>
      <c r="Q59" s="3">
        <v>1.6900000000000001E-3</v>
      </c>
      <c r="R59" s="3">
        <v>4.1079999999999998E-2</v>
      </c>
      <c r="S59" s="3" t="s">
        <v>549</v>
      </c>
      <c r="T59" s="3" t="s">
        <v>518</v>
      </c>
    </row>
    <row r="60" spans="1:20" ht="24" x14ac:dyDescent="0.25">
      <c r="A60" s="2">
        <v>57</v>
      </c>
      <c r="B60" s="2">
        <v>2023</v>
      </c>
      <c r="C60" s="2" t="s">
        <v>22</v>
      </c>
      <c r="D60" s="2" t="s">
        <v>618</v>
      </c>
      <c r="E60" s="2" t="s">
        <v>24</v>
      </c>
      <c r="F60" s="2" t="s">
        <v>24</v>
      </c>
      <c r="G60" s="2" t="s">
        <v>47</v>
      </c>
      <c r="H60" s="2" t="s">
        <v>198</v>
      </c>
      <c r="I60" s="2" t="s">
        <v>548</v>
      </c>
      <c r="J60" s="2" t="s">
        <v>551</v>
      </c>
      <c r="K60" s="2">
        <v>417.14</v>
      </c>
      <c r="L60" s="2">
        <v>3905.4</v>
      </c>
      <c r="M60" s="2">
        <v>1629098.56</v>
      </c>
      <c r="N60" s="2">
        <v>2.8000000000000001E-2</v>
      </c>
      <c r="O60" s="2">
        <v>45.614759999999997</v>
      </c>
      <c r="P60" s="2">
        <v>22779.03</v>
      </c>
      <c r="Q60" s="2">
        <v>1.8600000000000001E-3</v>
      </c>
      <c r="R60" s="2">
        <v>4.2369999999999998E-2</v>
      </c>
      <c r="S60" s="2" t="s">
        <v>545</v>
      </c>
      <c r="T60" s="2" t="s">
        <v>554</v>
      </c>
    </row>
    <row r="61" spans="1:20" x14ac:dyDescent="0.25">
      <c r="A61" s="3">
        <v>58</v>
      </c>
      <c r="B61" s="3">
        <v>2023</v>
      </c>
      <c r="C61" s="3" t="s">
        <v>32</v>
      </c>
      <c r="D61" s="3" t="s">
        <v>619</v>
      </c>
      <c r="E61" s="3" t="s">
        <v>139</v>
      </c>
      <c r="F61" s="3" t="s">
        <v>92</v>
      </c>
      <c r="G61" s="3" t="s">
        <v>105</v>
      </c>
      <c r="H61" s="3" t="s">
        <v>106</v>
      </c>
      <c r="I61" s="3" t="s">
        <v>543</v>
      </c>
      <c r="J61" s="3" t="s">
        <v>551</v>
      </c>
      <c r="K61" s="3">
        <v>229.35</v>
      </c>
      <c r="L61" s="3">
        <v>13108.3</v>
      </c>
      <c r="M61" s="3">
        <v>3006388.6</v>
      </c>
      <c r="N61" s="3">
        <v>3.3000000000000002E-2</v>
      </c>
      <c r="O61" s="3">
        <v>99.210819999999998</v>
      </c>
      <c r="P61" s="3">
        <v>19685.11</v>
      </c>
      <c r="Q61" s="3">
        <v>1.4E-3</v>
      </c>
      <c r="R61" s="3">
        <v>2.7560000000000001E-2</v>
      </c>
      <c r="S61" s="3" t="s">
        <v>549</v>
      </c>
      <c r="T61" s="3" t="s">
        <v>546</v>
      </c>
    </row>
    <row r="62" spans="1:20" ht="24" x14ac:dyDescent="0.25">
      <c r="A62" s="2">
        <v>59</v>
      </c>
      <c r="B62" s="2">
        <v>2023</v>
      </c>
      <c r="C62" s="2" t="s">
        <v>39</v>
      </c>
      <c r="D62" s="2" t="s">
        <v>620</v>
      </c>
      <c r="E62" s="2" t="s">
        <v>58</v>
      </c>
      <c r="F62" s="2" t="s">
        <v>92</v>
      </c>
      <c r="G62" s="2" t="s">
        <v>84</v>
      </c>
      <c r="H62" s="2" t="s">
        <v>42</v>
      </c>
      <c r="I62" s="2" t="s">
        <v>543</v>
      </c>
      <c r="J62" s="2" t="s">
        <v>557</v>
      </c>
      <c r="K62" s="2">
        <v>294.17</v>
      </c>
      <c r="L62" s="2">
        <v>11387.7</v>
      </c>
      <c r="M62" s="2">
        <v>3349919.71</v>
      </c>
      <c r="N62" s="2">
        <v>3.3000000000000002E-2</v>
      </c>
      <c r="O62" s="2">
        <v>110.54734999999999</v>
      </c>
      <c r="P62" s="2">
        <v>23497.279999999999</v>
      </c>
      <c r="Q62" s="2">
        <v>1.8799999999999999E-3</v>
      </c>
      <c r="R62" s="2">
        <v>4.4170000000000001E-2</v>
      </c>
      <c r="S62" s="2" t="s">
        <v>545</v>
      </c>
      <c r="T62" s="2" t="s">
        <v>554</v>
      </c>
    </row>
    <row r="63" spans="1:20" ht="24" x14ac:dyDescent="0.25">
      <c r="A63" s="3">
        <v>60</v>
      </c>
      <c r="B63" s="3">
        <v>2023</v>
      </c>
      <c r="C63" s="3" t="s">
        <v>46</v>
      </c>
      <c r="D63" s="3" t="s">
        <v>621</v>
      </c>
      <c r="E63" s="3" t="s">
        <v>117</v>
      </c>
      <c r="F63" s="3" t="s">
        <v>33</v>
      </c>
      <c r="G63" s="3" t="s">
        <v>138</v>
      </c>
      <c r="H63" s="3" t="s">
        <v>49</v>
      </c>
      <c r="I63" s="3" t="s">
        <v>570</v>
      </c>
      <c r="J63" s="3" t="s">
        <v>595</v>
      </c>
      <c r="K63" s="3">
        <v>191.83</v>
      </c>
      <c r="L63" s="3">
        <v>7309.5</v>
      </c>
      <c r="M63" s="3">
        <v>1402181.39</v>
      </c>
      <c r="N63" s="3">
        <v>1.6E-2</v>
      </c>
      <c r="O63" s="3">
        <v>22.434899999999999</v>
      </c>
      <c r="P63" s="3">
        <v>15263.16</v>
      </c>
      <c r="Q63" s="3">
        <v>4.6000000000000001E-4</v>
      </c>
      <c r="R63" s="3">
        <v>7.0200000000000002E-3</v>
      </c>
      <c r="S63" s="3" t="s">
        <v>545</v>
      </c>
      <c r="T63" s="3" t="s">
        <v>546</v>
      </c>
    </row>
    <row r="64" spans="1:20" ht="24" x14ac:dyDescent="0.25">
      <c r="A64" s="2">
        <v>61</v>
      </c>
      <c r="B64" s="2">
        <v>2023</v>
      </c>
      <c r="C64" s="2" t="s">
        <v>22</v>
      </c>
      <c r="D64" s="2" t="s">
        <v>622</v>
      </c>
      <c r="E64" s="2" t="s">
        <v>70</v>
      </c>
      <c r="F64" s="2" t="s">
        <v>117</v>
      </c>
      <c r="G64" s="2" t="s">
        <v>75</v>
      </c>
      <c r="H64" s="2" t="s">
        <v>89</v>
      </c>
      <c r="I64" s="2" t="s">
        <v>560</v>
      </c>
      <c r="J64" s="2" t="s">
        <v>564</v>
      </c>
      <c r="K64" s="2">
        <v>444.84</v>
      </c>
      <c r="L64" s="2">
        <v>5005.8</v>
      </c>
      <c r="M64" s="2">
        <v>2226780.0699999998</v>
      </c>
      <c r="N64" s="2">
        <v>0.95</v>
      </c>
      <c r="O64" s="2">
        <v>2115.4410699999999</v>
      </c>
      <c r="P64" s="2">
        <v>6015.72</v>
      </c>
      <c r="Q64" s="2">
        <v>1.5900000000000001E-3</v>
      </c>
      <c r="R64" s="2">
        <v>9.5600000000000008E-3</v>
      </c>
      <c r="S64" s="2" t="s">
        <v>545</v>
      </c>
      <c r="T64" s="2" t="s">
        <v>554</v>
      </c>
    </row>
    <row r="65" spans="1:20" ht="24" x14ac:dyDescent="0.25">
      <c r="A65" s="3">
        <v>62</v>
      </c>
      <c r="B65" s="3">
        <v>2023</v>
      </c>
      <c r="C65" s="3" t="s">
        <v>32</v>
      </c>
      <c r="D65" s="3" t="s">
        <v>623</v>
      </c>
      <c r="E65" s="3" t="s">
        <v>65</v>
      </c>
      <c r="F65" s="3" t="s">
        <v>110</v>
      </c>
      <c r="G65" s="3" t="s">
        <v>159</v>
      </c>
      <c r="H65" s="3" t="s">
        <v>140</v>
      </c>
      <c r="I65" s="3" t="s">
        <v>570</v>
      </c>
      <c r="J65" s="3" t="s">
        <v>571</v>
      </c>
      <c r="K65" s="3">
        <v>421.5</v>
      </c>
      <c r="L65" s="3">
        <v>12880.6</v>
      </c>
      <c r="M65" s="3">
        <v>5429172.9000000004</v>
      </c>
      <c r="N65" s="3">
        <v>1.6E-2</v>
      </c>
      <c r="O65" s="3">
        <v>86.866770000000002</v>
      </c>
      <c r="P65" s="3">
        <v>17152.82</v>
      </c>
      <c r="Q65" s="3">
        <v>1.9599999999999999E-3</v>
      </c>
      <c r="R65" s="3">
        <v>3.3619999999999997E-2</v>
      </c>
      <c r="S65" s="3" t="s">
        <v>545</v>
      </c>
      <c r="T65" s="3" t="s">
        <v>554</v>
      </c>
    </row>
    <row r="66" spans="1:20" x14ac:dyDescent="0.25">
      <c r="A66" s="2">
        <v>63</v>
      </c>
      <c r="B66" s="2">
        <v>2023</v>
      </c>
      <c r="C66" s="2" t="s">
        <v>39</v>
      </c>
      <c r="D66" s="2" t="s">
        <v>624</v>
      </c>
      <c r="E66" s="2" t="s">
        <v>54</v>
      </c>
      <c r="F66" s="2" t="s">
        <v>33</v>
      </c>
      <c r="G66" s="2" t="s">
        <v>102</v>
      </c>
      <c r="H66" s="2" t="s">
        <v>42</v>
      </c>
      <c r="I66" s="2" t="s">
        <v>556</v>
      </c>
      <c r="J66" s="2" t="s">
        <v>573</v>
      </c>
      <c r="K66" s="2">
        <v>208.68</v>
      </c>
      <c r="L66" s="2">
        <v>9701</v>
      </c>
      <c r="M66" s="2">
        <v>2024404.68</v>
      </c>
      <c r="N66" s="2">
        <v>0.18</v>
      </c>
      <c r="O66" s="2">
        <v>364.39283999999998</v>
      </c>
      <c r="P66" s="2">
        <v>4779.6000000000004</v>
      </c>
      <c r="Q66" s="2">
        <v>7.3999999999999999E-4</v>
      </c>
      <c r="R66" s="2">
        <v>3.5400000000000002E-3</v>
      </c>
      <c r="S66" s="2" t="s">
        <v>545</v>
      </c>
      <c r="T66" s="2" t="s">
        <v>546</v>
      </c>
    </row>
    <row r="67" spans="1:20" x14ac:dyDescent="0.25">
      <c r="A67" s="3">
        <v>64</v>
      </c>
      <c r="B67" s="3">
        <v>2023</v>
      </c>
      <c r="C67" s="3" t="s">
        <v>46</v>
      </c>
      <c r="D67" s="3" t="s">
        <v>625</v>
      </c>
      <c r="E67" s="3" t="s">
        <v>92</v>
      </c>
      <c r="F67" s="3" t="s">
        <v>54</v>
      </c>
      <c r="G67" s="3" t="s">
        <v>252</v>
      </c>
      <c r="H67" s="3" t="s">
        <v>35</v>
      </c>
      <c r="I67" s="3" t="s">
        <v>543</v>
      </c>
      <c r="J67" s="3" t="s">
        <v>595</v>
      </c>
      <c r="K67" s="3">
        <v>395.85</v>
      </c>
      <c r="L67" s="3">
        <v>1031</v>
      </c>
      <c r="M67" s="3">
        <v>408121.35</v>
      </c>
      <c r="N67" s="3">
        <v>3.3000000000000002E-2</v>
      </c>
      <c r="O67" s="3">
        <v>13.468</v>
      </c>
      <c r="P67" s="3">
        <v>17768.28</v>
      </c>
      <c r="Q67" s="3">
        <v>1.0499999999999999E-3</v>
      </c>
      <c r="R67" s="3">
        <v>1.866E-2</v>
      </c>
      <c r="S67" s="3" t="s">
        <v>549</v>
      </c>
      <c r="T67" s="3" t="s">
        <v>546</v>
      </c>
    </row>
    <row r="68" spans="1:20" ht="24" x14ac:dyDescent="0.25">
      <c r="A68" s="2">
        <v>65</v>
      </c>
      <c r="B68" s="2">
        <v>2023</v>
      </c>
      <c r="C68" s="2" t="s">
        <v>22</v>
      </c>
      <c r="D68" s="2" t="s">
        <v>626</v>
      </c>
      <c r="E68" s="2" t="s">
        <v>120</v>
      </c>
      <c r="F68" s="2" t="s">
        <v>70</v>
      </c>
      <c r="G68" s="2" t="s">
        <v>75</v>
      </c>
      <c r="H68" s="2" t="s">
        <v>140</v>
      </c>
      <c r="I68" s="2" t="s">
        <v>548</v>
      </c>
      <c r="J68" s="2" t="s">
        <v>566</v>
      </c>
      <c r="K68" s="2">
        <v>437.65</v>
      </c>
      <c r="L68" s="2">
        <v>3050.9</v>
      </c>
      <c r="M68" s="2">
        <v>1335226.3899999999</v>
      </c>
      <c r="N68" s="2">
        <v>2.8000000000000001E-2</v>
      </c>
      <c r="O68" s="2">
        <v>37.386339999999997</v>
      </c>
      <c r="P68" s="2">
        <v>1534.93</v>
      </c>
      <c r="Q68" s="2">
        <v>4.4999999999999999E-4</v>
      </c>
      <c r="R68" s="2">
        <v>6.8999999999999997E-4</v>
      </c>
      <c r="S68" s="2" t="s">
        <v>545</v>
      </c>
      <c r="T68" s="2" t="s">
        <v>554</v>
      </c>
    </row>
    <row r="69" spans="1:20" x14ac:dyDescent="0.25">
      <c r="A69" s="3">
        <v>66</v>
      </c>
      <c r="B69" s="3">
        <v>2023</v>
      </c>
      <c r="C69" s="3" t="s">
        <v>32</v>
      </c>
      <c r="D69" s="3" t="s">
        <v>627</v>
      </c>
      <c r="E69" s="3" t="s">
        <v>88</v>
      </c>
      <c r="F69" s="3" t="s">
        <v>204</v>
      </c>
      <c r="G69" s="3" t="s">
        <v>87</v>
      </c>
      <c r="H69" s="3" t="s">
        <v>99</v>
      </c>
      <c r="I69" s="3" t="s">
        <v>560</v>
      </c>
      <c r="J69" s="3" t="s">
        <v>544</v>
      </c>
      <c r="K69" s="3">
        <v>252.81</v>
      </c>
      <c r="L69" s="3">
        <v>9549.4</v>
      </c>
      <c r="M69" s="3">
        <v>2414183.81</v>
      </c>
      <c r="N69" s="3">
        <v>0.95</v>
      </c>
      <c r="O69" s="3">
        <v>2293.47462</v>
      </c>
      <c r="P69" s="3">
        <v>3184.43</v>
      </c>
      <c r="Q69" s="3">
        <v>4.4999999999999999E-4</v>
      </c>
      <c r="R69" s="3">
        <v>1.4300000000000001E-3</v>
      </c>
      <c r="S69" s="3" t="s">
        <v>545</v>
      </c>
      <c r="T69" s="3" t="s">
        <v>518</v>
      </c>
    </row>
    <row r="70" spans="1:20" x14ac:dyDescent="0.25">
      <c r="A70" s="2">
        <v>67</v>
      </c>
      <c r="B70" s="2">
        <v>2023</v>
      </c>
      <c r="C70" s="2" t="s">
        <v>39</v>
      </c>
      <c r="D70" s="2" t="s">
        <v>628</v>
      </c>
      <c r="E70" s="2" t="s">
        <v>96</v>
      </c>
      <c r="F70" s="2" t="s">
        <v>24</v>
      </c>
      <c r="G70" s="2" t="s">
        <v>159</v>
      </c>
      <c r="H70" s="2" t="s">
        <v>89</v>
      </c>
      <c r="I70" s="2" t="s">
        <v>543</v>
      </c>
      <c r="J70" s="2" t="s">
        <v>551</v>
      </c>
      <c r="K70" s="2">
        <v>175.21</v>
      </c>
      <c r="L70" s="2">
        <v>2494.5</v>
      </c>
      <c r="M70" s="2">
        <v>437061.35</v>
      </c>
      <c r="N70" s="2">
        <v>3.3000000000000002E-2</v>
      </c>
      <c r="O70" s="2">
        <v>14.423019999999999</v>
      </c>
      <c r="P70" s="2">
        <v>22372.85</v>
      </c>
      <c r="Q70" s="2">
        <v>1.6000000000000001E-3</v>
      </c>
      <c r="R70" s="2">
        <v>3.5799999999999998E-2</v>
      </c>
      <c r="S70" s="2" t="s">
        <v>549</v>
      </c>
      <c r="T70" s="2" t="s">
        <v>546</v>
      </c>
    </row>
    <row r="71" spans="1:20" ht="24" x14ac:dyDescent="0.25">
      <c r="A71" s="3">
        <v>68</v>
      </c>
      <c r="B71" s="3">
        <v>2023</v>
      </c>
      <c r="C71" s="3" t="s">
        <v>46</v>
      </c>
      <c r="D71" s="3" t="s">
        <v>629</v>
      </c>
      <c r="E71" s="3" t="s">
        <v>65</v>
      </c>
      <c r="F71" s="3" t="s">
        <v>117</v>
      </c>
      <c r="G71" s="3" t="s">
        <v>105</v>
      </c>
      <c r="H71" s="3" t="s">
        <v>198</v>
      </c>
      <c r="I71" s="3" t="s">
        <v>543</v>
      </c>
      <c r="J71" s="3" t="s">
        <v>576</v>
      </c>
      <c r="K71" s="3">
        <v>390.03</v>
      </c>
      <c r="L71" s="3">
        <v>3254.1</v>
      </c>
      <c r="M71" s="3">
        <v>1269196.6200000001</v>
      </c>
      <c r="N71" s="3">
        <v>3.3000000000000002E-2</v>
      </c>
      <c r="O71" s="3">
        <v>41.883490000000002</v>
      </c>
      <c r="P71" s="3">
        <v>5611.64</v>
      </c>
      <c r="Q71" s="3">
        <v>7.6000000000000004E-4</v>
      </c>
      <c r="R71" s="3">
        <v>4.2599999999999999E-3</v>
      </c>
      <c r="S71" s="3" t="s">
        <v>549</v>
      </c>
      <c r="T71" s="3" t="s">
        <v>554</v>
      </c>
    </row>
    <row r="72" spans="1:20" ht="24" x14ac:dyDescent="0.25">
      <c r="A72" s="2">
        <v>69</v>
      </c>
      <c r="B72" s="2">
        <v>2023</v>
      </c>
      <c r="C72" s="2" t="s">
        <v>22</v>
      </c>
      <c r="D72" s="2" t="s">
        <v>630</v>
      </c>
      <c r="E72" s="2" t="s">
        <v>92</v>
      </c>
      <c r="F72" s="2" t="s">
        <v>117</v>
      </c>
      <c r="G72" s="2" t="s">
        <v>133</v>
      </c>
      <c r="H72" s="2" t="s">
        <v>128</v>
      </c>
      <c r="I72" s="2" t="s">
        <v>548</v>
      </c>
      <c r="J72" s="2" t="s">
        <v>551</v>
      </c>
      <c r="K72" s="2">
        <v>323.86</v>
      </c>
      <c r="L72" s="2">
        <v>9037.1</v>
      </c>
      <c r="M72" s="2">
        <v>2926755.21</v>
      </c>
      <c r="N72" s="2">
        <v>2.8000000000000001E-2</v>
      </c>
      <c r="O72" s="2">
        <v>81.949150000000003</v>
      </c>
      <c r="P72" s="2">
        <v>310.75</v>
      </c>
      <c r="Q72" s="2">
        <v>8.0000000000000004E-4</v>
      </c>
      <c r="R72" s="2">
        <v>2.5000000000000001E-4</v>
      </c>
      <c r="S72" s="2" t="s">
        <v>545</v>
      </c>
      <c r="T72" s="2" t="s">
        <v>554</v>
      </c>
    </row>
    <row r="73" spans="1:20" ht="24" x14ac:dyDescent="0.25">
      <c r="A73" s="3">
        <v>70</v>
      </c>
      <c r="B73" s="3">
        <v>2023</v>
      </c>
      <c r="C73" s="3" t="s">
        <v>32</v>
      </c>
      <c r="D73" s="3" t="s">
        <v>631</v>
      </c>
      <c r="E73" s="3" t="s">
        <v>58</v>
      </c>
      <c r="F73" s="3" t="s">
        <v>24</v>
      </c>
      <c r="G73" s="3" t="s">
        <v>230</v>
      </c>
      <c r="H73" s="3" t="s">
        <v>198</v>
      </c>
      <c r="I73" s="3" t="s">
        <v>570</v>
      </c>
      <c r="J73" s="3" t="s">
        <v>564</v>
      </c>
      <c r="K73" s="3">
        <v>109.5</v>
      </c>
      <c r="L73" s="3">
        <v>4567.1000000000004</v>
      </c>
      <c r="M73" s="3">
        <v>500097.45</v>
      </c>
      <c r="N73" s="3">
        <v>1.6E-2</v>
      </c>
      <c r="O73" s="3">
        <v>8.0015599999999996</v>
      </c>
      <c r="P73" s="3">
        <v>13063.88</v>
      </c>
      <c r="Q73" s="3">
        <v>1.4E-3</v>
      </c>
      <c r="R73" s="3">
        <v>1.8290000000000001E-2</v>
      </c>
      <c r="S73" s="3" t="s">
        <v>545</v>
      </c>
      <c r="T73" s="3" t="s">
        <v>554</v>
      </c>
    </row>
    <row r="74" spans="1:20" x14ac:dyDescent="0.25">
      <c r="A74" s="2">
        <v>71</v>
      </c>
      <c r="B74" s="2">
        <v>2023</v>
      </c>
      <c r="C74" s="2" t="s">
        <v>39</v>
      </c>
      <c r="D74" s="2" t="s">
        <v>632</v>
      </c>
      <c r="E74" s="2" t="s">
        <v>54</v>
      </c>
      <c r="F74" s="2" t="s">
        <v>117</v>
      </c>
      <c r="G74" s="2" t="s">
        <v>133</v>
      </c>
      <c r="H74" s="2" t="s">
        <v>67</v>
      </c>
      <c r="I74" s="2" t="s">
        <v>556</v>
      </c>
      <c r="J74" s="2" t="s">
        <v>557</v>
      </c>
      <c r="K74" s="2">
        <v>54.5</v>
      </c>
      <c r="L74" s="2">
        <v>1004.4</v>
      </c>
      <c r="M74" s="2">
        <v>54739.8</v>
      </c>
      <c r="N74" s="2">
        <v>0.18</v>
      </c>
      <c r="O74" s="2">
        <v>9.8531600000000008</v>
      </c>
      <c r="P74" s="2">
        <v>24710.19</v>
      </c>
      <c r="Q74" s="2">
        <v>1.42E-3</v>
      </c>
      <c r="R74" s="2">
        <v>3.5090000000000003E-2</v>
      </c>
      <c r="S74" s="2" t="s">
        <v>549</v>
      </c>
      <c r="T74" s="2" t="s">
        <v>546</v>
      </c>
    </row>
    <row r="75" spans="1:20" x14ac:dyDescent="0.25">
      <c r="A75" s="3">
        <v>72</v>
      </c>
      <c r="B75" s="3">
        <v>2023</v>
      </c>
      <c r="C75" s="3" t="s">
        <v>46</v>
      </c>
      <c r="D75" s="3" t="s">
        <v>633</v>
      </c>
      <c r="E75" s="3" t="s">
        <v>58</v>
      </c>
      <c r="F75" s="3" t="s">
        <v>33</v>
      </c>
      <c r="G75" s="3" t="s">
        <v>40</v>
      </c>
      <c r="H75" s="3" t="s">
        <v>67</v>
      </c>
      <c r="I75" s="3" t="s">
        <v>543</v>
      </c>
      <c r="J75" s="3" t="s">
        <v>544</v>
      </c>
      <c r="K75" s="3">
        <v>382.85</v>
      </c>
      <c r="L75" s="3">
        <v>13500.3</v>
      </c>
      <c r="M75" s="3">
        <v>5168589.8600000003</v>
      </c>
      <c r="N75" s="3">
        <v>3.3000000000000002E-2</v>
      </c>
      <c r="O75" s="3">
        <v>170.56347</v>
      </c>
      <c r="P75" s="3">
        <v>20155.2</v>
      </c>
      <c r="Q75" s="3">
        <v>1.6800000000000001E-3</v>
      </c>
      <c r="R75" s="3">
        <v>3.3860000000000001E-2</v>
      </c>
      <c r="S75" s="3" t="s">
        <v>549</v>
      </c>
      <c r="T75" s="3" t="s">
        <v>518</v>
      </c>
    </row>
    <row r="76" spans="1:20" x14ac:dyDescent="0.25">
      <c r="A76" s="2">
        <v>73</v>
      </c>
      <c r="B76" s="2">
        <v>2023</v>
      </c>
      <c r="C76" s="2" t="s">
        <v>22</v>
      </c>
      <c r="D76" s="2" t="s">
        <v>634</v>
      </c>
      <c r="E76" s="2" t="s">
        <v>120</v>
      </c>
      <c r="F76" s="2" t="s">
        <v>58</v>
      </c>
      <c r="G76" s="2" t="s">
        <v>166</v>
      </c>
      <c r="H76" s="2" t="s">
        <v>26</v>
      </c>
      <c r="I76" s="2" t="s">
        <v>560</v>
      </c>
      <c r="J76" s="2" t="s">
        <v>566</v>
      </c>
      <c r="K76" s="2">
        <v>498.74</v>
      </c>
      <c r="L76" s="2">
        <v>3928.4</v>
      </c>
      <c r="M76" s="2">
        <v>1959250.22</v>
      </c>
      <c r="N76" s="2">
        <v>0.95</v>
      </c>
      <c r="O76" s="2">
        <v>1861.2877100000001</v>
      </c>
      <c r="P76" s="2">
        <v>10522.29</v>
      </c>
      <c r="Q76" s="2">
        <v>1.0200000000000001E-3</v>
      </c>
      <c r="R76" s="2">
        <v>1.073E-2</v>
      </c>
      <c r="S76" s="2" t="s">
        <v>545</v>
      </c>
      <c r="T76" s="2" t="s">
        <v>518</v>
      </c>
    </row>
    <row r="77" spans="1:20" ht="24" x14ac:dyDescent="0.25">
      <c r="A77" s="3">
        <v>74</v>
      </c>
      <c r="B77" s="3">
        <v>2023</v>
      </c>
      <c r="C77" s="3" t="s">
        <v>32</v>
      </c>
      <c r="D77" s="3" t="s">
        <v>635</v>
      </c>
      <c r="E77" s="3" t="s">
        <v>154</v>
      </c>
      <c r="F77" s="3" t="s">
        <v>88</v>
      </c>
      <c r="G77" s="3" t="s">
        <v>252</v>
      </c>
      <c r="H77" s="3" t="s">
        <v>72</v>
      </c>
      <c r="I77" s="3" t="s">
        <v>556</v>
      </c>
      <c r="J77" s="3" t="s">
        <v>544</v>
      </c>
      <c r="K77" s="3">
        <v>111.57</v>
      </c>
      <c r="L77" s="3">
        <v>8042.8</v>
      </c>
      <c r="M77" s="3">
        <v>897335.2</v>
      </c>
      <c r="N77" s="3">
        <v>0.18</v>
      </c>
      <c r="O77" s="3">
        <v>161.52034</v>
      </c>
      <c r="P77" s="3">
        <v>19643.939999999999</v>
      </c>
      <c r="Q77" s="3">
        <v>1.8500000000000001E-3</v>
      </c>
      <c r="R77" s="3">
        <v>3.6339999999999997E-2</v>
      </c>
      <c r="S77" s="3" t="s">
        <v>549</v>
      </c>
      <c r="T77" s="3" t="s">
        <v>554</v>
      </c>
    </row>
    <row r="78" spans="1:20" ht="24" x14ac:dyDescent="0.25">
      <c r="A78" s="2">
        <v>75</v>
      </c>
      <c r="B78" s="2">
        <v>2023</v>
      </c>
      <c r="C78" s="2" t="s">
        <v>39</v>
      </c>
      <c r="D78" s="2" t="s">
        <v>636</v>
      </c>
      <c r="E78" s="2" t="s">
        <v>70</v>
      </c>
      <c r="F78" s="2" t="s">
        <v>110</v>
      </c>
      <c r="G78" s="2" t="s">
        <v>40</v>
      </c>
      <c r="H78" s="2" t="s">
        <v>67</v>
      </c>
      <c r="I78" s="2" t="s">
        <v>553</v>
      </c>
      <c r="J78" s="2" t="s">
        <v>578</v>
      </c>
      <c r="K78" s="2">
        <v>235.66</v>
      </c>
      <c r="L78" s="2">
        <v>11126.7</v>
      </c>
      <c r="M78" s="2">
        <v>2622118.12</v>
      </c>
      <c r="N78" s="2">
        <v>0.1</v>
      </c>
      <c r="O78" s="2">
        <v>262.21181000000001</v>
      </c>
      <c r="P78" s="2">
        <v>18157.150000000001</v>
      </c>
      <c r="Q78" s="2">
        <v>1.2899999999999999E-3</v>
      </c>
      <c r="R78" s="2">
        <v>2.342E-2</v>
      </c>
      <c r="S78" s="2" t="s">
        <v>549</v>
      </c>
      <c r="T78" s="2" t="s">
        <v>554</v>
      </c>
    </row>
    <row r="79" spans="1:20" x14ac:dyDescent="0.25">
      <c r="A79" s="3">
        <v>76</v>
      </c>
      <c r="B79" s="3">
        <v>2023</v>
      </c>
      <c r="C79" s="3" t="s">
        <v>46</v>
      </c>
      <c r="D79" s="3" t="s">
        <v>637</v>
      </c>
      <c r="E79" s="3" t="s">
        <v>117</v>
      </c>
      <c r="F79" s="3" t="s">
        <v>58</v>
      </c>
      <c r="G79" s="3" t="s">
        <v>159</v>
      </c>
      <c r="H79" s="3" t="s">
        <v>99</v>
      </c>
      <c r="I79" s="3" t="s">
        <v>548</v>
      </c>
      <c r="J79" s="3" t="s">
        <v>578</v>
      </c>
      <c r="K79" s="3">
        <v>372.23</v>
      </c>
      <c r="L79" s="3">
        <v>4640.8999999999996</v>
      </c>
      <c r="M79" s="3">
        <v>1727482.21</v>
      </c>
      <c r="N79" s="3">
        <v>2.8000000000000001E-2</v>
      </c>
      <c r="O79" s="3">
        <v>48.369500000000002</v>
      </c>
      <c r="P79" s="3">
        <v>19723.45</v>
      </c>
      <c r="Q79" s="3">
        <v>9.3000000000000005E-4</v>
      </c>
      <c r="R79" s="3">
        <v>1.8339999999999999E-2</v>
      </c>
      <c r="S79" s="3" t="s">
        <v>545</v>
      </c>
      <c r="T79" s="3" t="s">
        <v>546</v>
      </c>
    </row>
    <row r="80" spans="1:20" x14ac:dyDescent="0.25">
      <c r="A80" s="2">
        <v>77</v>
      </c>
      <c r="B80" s="2">
        <v>2023</v>
      </c>
      <c r="C80" s="2" t="s">
        <v>22</v>
      </c>
      <c r="D80" s="2" t="s">
        <v>638</v>
      </c>
      <c r="E80" s="2" t="s">
        <v>139</v>
      </c>
      <c r="F80" s="2" t="s">
        <v>24</v>
      </c>
      <c r="G80" s="2" t="s">
        <v>47</v>
      </c>
      <c r="H80" s="2" t="s">
        <v>198</v>
      </c>
      <c r="I80" s="2" t="s">
        <v>556</v>
      </c>
      <c r="J80" s="2" t="s">
        <v>557</v>
      </c>
      <c r="K80" s="2">
        <v>292</v>
      </c>
      <c r="L80" s="2">
        <v>14167.3</v>
      </c>
      <c r="M80" s="2">
        <v>4136851.6</v>
      </c>
      <c r="N80" s="2">
        <v>0.18</v>
      </c>
      <c r="O80" s="2">
        <v>744.63328999999999</v>
      </c>
      <c r="P80" s="2">
        <v>1873.27</v>
      </c>
      <c r="Q80" s="2">
        <v>1.82E-3</v>
      </c>
      <c r="R80" s="2">
        <v>3.4099999999999998E-3</v>
      </c>
      <c r="S80" s="2" t="s">
        <v>545</v>
      </c>
      <c r="T80" s="2" t="s">
        <v>546</v>
      </c>
    </row>
    <row r="81" spans="1:20" ht="24" x14ac:dyDescent="0.25">
      <c r="A81" s="3">
        <v>78</v>
      </c>
      <c r="B81" s="3">
        <v>2023</v>
      </c>
      <c r="C81" s="3" t="s">
        <v>32</v>
      </c>
      <c r="D81" s="3" t="s">
        <v>639</v>
      </c>
      <c r="E81" s="3" t="s">
        <v>70</v>
      </c>
      <c r="F81" s="3" t="s">
        <v>204</v>
      </c>
      <c r="G81" s="3" t="s">
        <v>138</v>
      </c>
      <c r="H81" s="3" t="s">
        <v>112</v>
      </c>
      <c r="I81" s="3" t="s">
        <v>548</v>
      </c>
      <c r="J81" s="3" t="s">
        <v>544</v>
      </c>
      <c r="K81" s="3">
        <v>69.11</v>
      </c>
      <c r="L81" s="3">
        <v>3044.4</v>
      </c>
      <c r="M81" s="3">
        <v>210398.48</v>
      </c>
      <c r="N81" s="3">
        <v>2.8000000000000001E-2</v>
      </c>
      <c r="O81" s="3">
        <v>5.8911600000000002</v>
      </c>
      <c r="P81" s="3">
        <v>10288.879999999999</v>
      </c>
      <c r="Q81" s="3">
        <v>1.31E-3</v>
      </c>
      <c r="R81" s="3">
        <v>1.3480000000000001E-2</v>
      </c>
      <c r="S81" s="3" t="s">
        <v>549</v>
      </c>
      <c r="T81" s="3" t="s">
        <v>554</v>
      </c>
    </row>
    <row r="82" spans="1:20" ht="24" x14ac:dyDescent="0.25">
      <c r="A82" s="2">
        <v>79</v>
      </c>
      <c r="B82" s="2">
        <v>2023</v>
      </c>
      <c r="C82" s="2" t="s">
        <v>39</v>
      </c>
      <c r="D82" s="2" t="s">
        <v>640</v>
      </c>
      <c r="E82" s="2" t="s">
        <v>117</v>
      </c>
      <c r="F82" s="2" t="s">
        <v>65</v>
      </c>
      <c r="G82" s="2" t="s">
        <v>183</v>
      </c>
      <c r="H82" s="2" t="s">
        <v>49</v>
      </c>
      <c r="I82" s="2" t="s">
        <v>570</v>
      </c>
      <c r="J82" s="2" t="s">
        <v>544</v>
      </c>
      <c r="K82" s="2">
        <v>315.7</v>
      </c>
      <c r="L82" s="2">
        <v>2693.5</v>
      </c>
      <c r="M82" s="2">
        <v>850337.95</v>
      </c>
      <c r="N82" s="2">
        <v>1.6E-2</v>
      </c>
      <c r="O82" s="2">
        <v>13.605409999999999</v>
      </c>
      <c r="P82" s="2">
        <v>15899.02</v>
      </c>
      <c r="Q82" s="2">
        <v>4.0999999999999999E-4</v>
      </c>
      <c r="R82" s="2">
        <v>6.5199999999999998E-3</v>
      </c>
      <c r="S82" s="2" t="s">
        <v>545</v>
      </c>
      <c r="T82" s="2" t="s">
        <v>546</v>
      </c>
    </row>
    <row r="83" spans="1:20" x14ac:dyDescent="0.25">
      <c r="A83" s="3">
        <v>80</v>
      </c>
      <c r="B83" s="3">
        <v>2023</v>
      </c>
      <c r="C83" s="3" t="s">
        <v>46</v>
      </c>
      <c r="D83" s="3" t="s">
        <v>641</v>
      </c>
      <c r="E83" s="3" t="s">
        <v>33</v>
      </c>
      <c r="F83" s="3" t="s">
        <v>120</v>
      </c>
      <c r="G83" s="3" t="s">
        <v>64</v>
      </c>
      <c r="H83" s="3" t="s">
        <v>198</v>
      </c>
      <c r="I83" s="3" t="s">
        <v>548</v>
      </c>
      <c r="J83" s="3" t="s">
        <v>566</v>
      </c>
      <c r="K83" s="3">
        <v>307.43</v>
      </c>
      <c r="L83" s="3">
        <v>9520.6</v>
      </c>
      <c r="M83" s="3">
        <v>2926918.06</v>
      </c>
      <c r="N83" s="3">
        <v>2.8000000000000001E-2</v>
      </c>
      <c r="O83" s="3">
        <v>81.953710000000001</v>
      </c>
      <c r="P83" s="3">
        <v>10144.5</v>
      </c>
      <c r="Q83" s="3">
        <v>1.9400000000000001E-3</v>
      </c>
      <c r="R83" s="3">
        <v>1.968E-2</v>
      </c>
      <c r="S83" s="3" t="s">
        <v>545</v>
      </c>
      <c r="T83" s="3" t="s">
        <v>546</v>
      </c>
    </row>
    <row r="84" spans="1:20" x14ac:dyDescent="0.25">
      <c r="A84" s="2">
        <v>81</v>
      </c>
      <c r="B84" s="2">
        <v>2023</v>
      </c>
      <c r="C84" s="2" t="s">
        <v>22</v>
      </c>
      <c r="D84" s="2" t="s">
        <v>642</v>
      </c>
      <c r="E84" s="2" t="s">
        <v>96</v>
      </c>
      <c r="F84" s="2" t="s">
        <v>65</v>
      </c>
      <c r="G84" s="2" t="s">
        <v>53</v>
      </c>
      <c r="H84" s="2" t="s">
        <v>140</v>
      </c>
      <c r="I84" s="2" t="s">
        <v>570</v>
      </c>
      <c r="J84" s="2" t="s">
        <v>564</v>
      </c>
      <c r="K84" s="2">
        <v>378.55</v>
      </c>
      <c r="L84" s="2">
        <v>7989</v>
      </c>
      <c r="M84" s="2">
        <v>3024235.95</v>
      </c>
      <c r="N84" s="2">
        <v>1.6E-2</v>
      </c>
      <c r="O84" s="2">
        <v>48.387779999999999</v>
      </c>
      <c r="P84" s="2">
        <v>546.11</v>
      </c>
      <c r="Q84" s="2">
        <v>4.0999999999999999E-4</v>
      </c>
      <c r="R84" s="2">
        <v>2.2000000000000001E-4</v>
      </c>
      <c r="S84" s="2" t="s">
        <v>545</v>
      </c>
      <c r="T84" s="2" t="s">
        <v>546</v>
      </c>
    </row>
    <row r="85" spans="1:20" ht="24" x14ac:dyDescent="0.25">
      <c r="A85" s="3">
        <v>82</v>
      </c>
      <c r="B85" s="3">
        <v>2023</v>
      </c>
      <c r="C85" s="3" t="s">
        <v>32</v>
      </c>
      <c r="D85" s="3" t="s">
        <v>643</v>
      </c>
      <c r="E85" s="3" t="s">
        <v>117</v>
      </c>
      <c r="F85" s="3" t="s">
        <v>117</v>
      </c>
      <c r="G85" s="3" t="s">
        <v>109</v>
      </c>
      <c r="H85" s="3" t="s">
        <v>140</v>
      </c>
      <c r="I85" s="3" t="s">
        <v>553</v>
      </c>
      <c r="J85" s="3" t="s">
        <v>573</v>
      </c>
      <c r="K85" s="3">
        <v>192.08</v>
      </c>
      <c r="L85" s="3">
        <v>8850.6</v>
      </c>
      <c r="M85" s="3">
        <v>1700023.25</v>
      </c>
      <c r="N85" s="3">
        <v>0.1</v>
      </c>
      <c r="O85" s="3">
        <v>170.00233</v>
      </c>
      <c r="P85" s="3">
        <v>4258.8</v>
      </c>
      <c r="Q85" s="3">
        <v>1.72E-3</v>
      </c>
      <c r="R85" s="3">
        <v>7.3299999999999997E-3</v>
      </c>
      <c r="S85" s="3" t="s">
        <v>545</v>
      </c>
      <c r="T85" s="3" t="s">
        <v>554</v>
      </c>
    </row>
    <row r="86" spans="1:20" x14ac:dyDescent="0.25">
      <c r="A86" s="2">
        <v>83</v>
      </c>
      <c r="B86" s="2">
        <v>2023</v>
      </c>
      <c r="C86" s="2" t="s">
        <v>39</v>
      </c>
      <c r="D86" s="2" t="s">
        <v>644</v>
      </c>
      <c r="E86" s="2" t="s">
        <v>65</v>
      </c>
      <c r="F86" s="2" t="s">
        <v>110</v>
      </c>
      <c r="G86" s="2" t="s">
        <v>47</v>
      </c>
      <c r="H86" s="2" t="s">
        <v>89</v>
      </c>
      <c r="I86" s="2" t="s">
        <v>556</v>
      </c>
      <c r="J86" s="2" t="s">
        <v>566</v>
      </c>
      <c r="K86" s="2">
        <v>497.74</v>
      </c>
      <c r="L86" s="2">
        <v>5173.8999999999996</v>
      </c>
      <c r="M86" s="2">
        <v>2575256.9900000002</v>
      </c>
      <c r="N86" s="2">
        <v>0.18</v>
      </c>
      <c r="O86" s="2">
        <v>463.54626000000002</v>
      </c>
      <c r="P86" s="2">
        <v>22544.46</v>
      </c>
      <c r="Q86" s="2">
        <v>9.7000000000000005E-4</v>
      </c>
      <c r="R86" s="2">
        <v>2.1870000000000001E-2</v>
      </c>
      <c r="S86" s="2" t="s">
        <v>549</v>
      </c>
      <c r="T86" s="2" t="s">
        <v>518</v>
      </c>
    </row>
    <row r="87" spans="1:20" x14ac:dyDescent="0.25">
      <c r="A87" s="3">
        <v>84</v>
      </c>
      <c r="B87" s="3">
        <v>2023</v>
      </c>
      <c r="C87" s="3" t="s">
        <v>46</v>
      </c>
      <c r="D87" s="3" t="s">
        <v>645</v>
      </c>
      <c r="E87" s="3" t="s">
        <v>96</v>
      </c>
      <c r="F87" s="3" t="s">
        <v>154</v>
      </c>
      <c r="G87" s="3" t="s">
        <v>64</v>
      </c>
      <c r="H87" s="3" t="s">
        <v>128</v>
      </c>
      <c r="I87" s="3" t="s">
        <v>548</v>
      </c>
      <c r="J87" s="3" t="s">
        <v>557</v>
      </c>
      <c r="K87" s="3">
        <v>105.99</v>
      </c>
      <c r="L87" s="3">
        <v>377.6</v>
      </c>
      <c r="M87" s="3">
        <v>40021.82</v>
      </c>
      <c r="N87" s="3">
        <v>2.8000000000000001E-2</v>
      </c>
      <c r="O87" s="3">
        <v>1.1206100000000001</v>
      </c>
      <c r="P87" s="3">
        <v>12665.38</v>
      </c>
      <c r="Q87" s="3">
        <v>5.9999999999999995E-4</v>
      </c>
      <c r="R87" s="3">
        <v>7.6E-3</v>
      </c>
      <c r="S87" s="3" t="s">
        <v>549</v>
      </c>
      <c r="T87" s="3" t="s">
        <v>518</v>
      </c>
    </row>
    <row r="88" spans="1:20" ht="24" x14ac:dyDescent="0.25">
      <c r="A88" s="2">
        <v>85</v>
      </c>
      <c r="B88" s="2">
        <v>2023</v>
      </c>
      <c r="C88" s="2" t="s">
        <v>22</v>
      </c>
      <c r="D88" s="2" t="s">
        <v>646</v>
      </c>
      <c r="E88" s="2" t="s">
        <v>33</v>
      </c>
      <c r="F88" s="2" t="s">
        <v>204</v>
      </c>
      <c r="G88" s="2" t="s">
        <v>47</v>
      </c>
      <c r="H88" s="2" t="s">
        <v>106</v>
      </c>
      <c r="I88" s="2" t="s">
        <v>553</v>
      </c>
      <c r="J88" s="2" t="s">
        <v>573</v>
      </c>
      <c r="K88" s="2">
        <v>331.15</v>
      </c>
      <c r="L88" s="2">
        <v>9820.7999999999993</v>
      </c>
      <c r="M88" s="2">
        <v>3252157.92</v>
      </c>
      <c r="N88" s="2">
        <v>0.1</v>
      </c>
      <c r="O88" s="2">
        <v>325.21579000000003</v>
      </c>
      <c r="P88" s="2">
        <v>591.57000000000005</v>
      </c>
      <c r="Q88" s="2">
        <v>1.5E-3</v>
      </c>
      <c r="R88" s="2">
        <v>8.8999999999999995E-4</v>
      </c>
      <c r="S88" s="2" t="s">
        <v>545</v>
      </c>
      <c r="T88" s="2" t="s">
        <v>554</v>
      </c>
    </row>
    <row r="89" spans="1:20" ht="24" x14ac:dyDescent="0.25">
      <c r="A89" s="3">
        <v>86</v>
      </c>
      <c r="B89" s="3">
        <v>2023</v>
      </c>
      <c r="C89" s="3" t="s">
        <v>32</v>
      </c>
      <c r="D89" s="3" t="s">
        <v>647</v>
      </c>
      <c r="E89" s="3" t="s">
        <v>154</v>
      </c>
      <c r="F89" s="3" t="s">
        <v>24</v>
      </c>
      <c r="G89" s="3" t="s">
        <v>252</v>
      </c>
      <c r="H89" s="3" t="s">
        <v>72</v>
      </c>
      <c r="I89" s="3" t="s">
        <v>556</v>
      </c>
      <c r="J89" s="3" t="s">
        <v>595</v>
      </c>
      <c r="K89" s="3">
        <v>76.989999999999995</v>
      </c>
      <c r="L89" s="3">
        <v>10443.1</v>
      </c>
      <c r="M89" s="3">
        <v>804014.27</v>
      </c>
      <c r="N89" s="3">
        <v>0.18</v>
      </c>
      <c r="O89" s="3">
        <v>144.72256999999999</v>
      </c>
      <c r="P89" s="3">
        <v>15794.75</v>
      </c>
      <c r="Q89" s="3">
        <v>8.8000000000000003E-4</v>
      </c>
      <c r="R89" s="3">
        <v>1.3899999999999999E-2</v>
      </c>
      <c r="S89" s="3" t="s">
        <v>549</v>
      </c>
      <c r="T89" s="3" t="s">
        <v>554</v>
      </c>
    </row>
    <row r="90" spans="1:20" ht="24" x14ac:dyDescent="0.25">
      <c r="A90" s="2">
        <v>87</v>
      </c>
      <c r="B90" s="2">
        <v>2023</v>
      </c>
      <c r="C90" s="2" t="s">
        <v>39</v>
      </c>
      <c r="D90" s="2" t="s">
        <v>648</v>
      </c>
      <c r="E90" s="2" t="s">
        <v>204</v>
      </c>
      <c r="F90" s="2" t="s">
        <v>65</v>
      </c>
      <c r="G90" s="2" t="s">
        <v>87</v>
      </c>
      <c r="H90" s="2" t="s">
        <v>143</v>
      </c>
      <c r="I90" s="2" t="s">
        <v>553</v>
      </c>
      <c r="J90" s="2" t="s">
        <v>557</v>
      </c>
      <c r="K90" s="2">
        <v>256.04000000000002</v>
      </c>
      <c r="L90" s="2">
        <v>9284.6</v>
      </c>
      <c r="M90" s="2">
        <v>2377228.98</v>
      </c>
      <c r="N90" s="2">
        <v>0.1</v>
      </c>
      <c r="O90" s="2">
        <v>237.72290000000001</v>
      </c>
      <c r="P90" s="2">
        <v>7139.4</v>
      </c>
      <c r="Q90" s="2">
        <v>1.66E-3</v>
      </c>
      <c r="R90" s="2">
        <v>1.1849999999999999E-2</v>
      </c>
      <c r="S90" s="2" t="s">
        <v>549</v>
      </c>
      <c r="T90" s="2" t="s">
        <v>554</v>
      </c>
    </row>
    <row r="91" spans="1:20" x14ac:dyDescent="0.25">
      <c r="A91" s="3">
        <v>88</v>
      </c>
      <c r="B91" s="3">
        <v>2023</v>
      </c>
      <c r="C91" s="3" t="s">
        <v>46</v>
      </c>
      <c r="D91" s="3" t="s">
        <v>649</v>
      </c>
      <c r="E91" s="3" t="s">
        <v>96</v>
      </c>
      <c r="F91" s="3" t="s">
        <v>70</v>
      </c>
      <c r="G91" s="3" t="s">
        <v>102</v>
      </c>
      <c r="H91" s="3" t="s">
        <v>112</v>
      </c>
      <c r="I91" s="3" t="s">
        <v>556</v>
      </c>
      <c r="J91" s="3" t="s">
        <v>566</v>
      </c>
      <c r="K91" s="3">
        <v>205.17</v>
      </c>
      <c r="L91" s="3">
        <v>2447.6</v>
      </c>
      <c r="M91" s="3">
        <v>502174.09</v>
      </c>
      <c r="N91" s="3">
        <v>0.18</v>
      </c>
      <c r="O91" s="3">
        <v>90.39134</v>
      </c>
      <c r="P91" s="3">
        <v>13748.66</v>
      </c>
      <c r="Q91" s="3">
        <v>1.8600000000000001E-3</v>
      </c>
      <c r="R91" s="3">
        <v>2.5569999999999999E-2</v>
      </c>
      <c r="S91" s="3" t="s">
        <v>549</v>
      </c>
      <c r="T91" s="3" t="s">
        <v>546</v>
      </c>
    </row>
    <row r="92" spans="1:20" x14ac:dyDescent="0.25">
      <c r="A92" s="2">
        <v>89</v>
      </c>
      <c r="B92" s="2">
        <v>2023</v>
      </c>
      <c r="C92" s="2" t="s">
        <v>22</v>
      </c>
      <c r="D92" s="2" t="s">
        <v>650</v>
      </c>
      <c r="E92" s="2" t="s">
        <v>24</v>
      </c>
      <c r="F92" s="2" t="s">
        <v>92</v>
      </c>
      <c r="G92" s="2" t="s">
        <v>252</v>
      </c>
      <c r="H92" s="2" t="s">
        <v>106</v>
      </c>
      <c r="I92" s="2" t="s">
        <v>556</v>
      </c>
      <c r="J92" s="2" t="s">
        <v>578</v>
      </c>
      <c r="K92" s="2">
        <v>44.96</v>
      </c>
      <c r="L92" s="2">
        <v>1700.9</v>
      </c>
      <c r="M92" s="2">
        <v>76472.460000000006</v>
      </c>
      <c r="N92" s="2">
        <v>0.18</v>
      </c>
      <c r="O92" s="2">
        <v>13.765040000000001</v>
      </c>
      <c r="P92" s="2">
        <v>14396.4</v>
      </c>
      <c r="Q92" s="2">
        <v>1.1900000000000001E-3</v>
      </c>
      <c r="R92" s="2">
        <v>1.7129999999999999E-2</v>
      </c>
      <c r="S92" s="2" t="s">
        <v>545</v>
      </c>
      <c r="T92" s="2" t="s">
        <v>518</v>
      </c>
    </row>
    <row r="93" spans="1:20" x14ac:dyDescent="0.25">
      <c r="A93" s="3">
        <v>90</v>
      </c>
      <c r="B93" s="3">
        <v>2023</v>
      </c>
      <c r="C93" s="3" t="s">
        <v>32</v>
      </c>
      <c r="D93" s="3" t="s">
        <v>651</v>
      </c>
      <c r="E93" s="3" t="s">
        <v>54</v>
      </c>
      <c r="F93" s="3" t="s">
        <v>110</v>
      </c>
      <c r="G93" s="3" t="s">
        <v>64</v>
      </c>
      <c r="H93" s="3" t="s">
        <v>26</v>
      </c>
      <c r="I93" s="3" t="s">
        <v>548</v>
      </c>
      <c r="J93" s="3" t="s">
        <v>557</v>
      </c>
      <c r="K93" s="3">
        <v>228.65</v>
      </c>
      <c r="L93" s="3">
        <v>14660.5</v>
      </c>
      <c r="M93" s="3">
        <v>3352123.33</v>
      </c>
      <c r="N93" s="3">
        <v>2.8000000000000001E-2</v>
      </c>
      <c r="O93" s="3">
        <v>93.859449999999995</v>
      </c>
      <c r="P93" s="3">
        <v>6676.71</v>
      </c>
      <c r="Q93" s="3">
        <v>4.8000000000000001E-4</v>
      </c>
      <c r="R93" s="3">
        <v>3.2000000000000002E-3</v>
      </c>
      <c r="S93" s="3" t="s">
        <v>545</v>
      </c>
      <c r="T93" s="3" t="s">
        <v>518</v>
      </c>
    </row>
    <row r="94" spans="1:20" ht="24" x14ac:dyDescent="0.25">
      <c r="A94" s="2">
        <v>91</v>
      </c>
      <c r="B94" s="2">
        <v>2023</v>
      </c>
      <c r="C94" s="2" t="s">
        <v>39</v>
      </c>
      <c r="D94" s="2" t="s">
        <v>652</v>
      </c>
      <c r="E94" s="2" t="s">
        <v>120</v>
      </c>
      <c r="F94" s="2" t="s">
        <v>54</v>
      </c>
      <c r="G94" s="2" t="s">
        <v>138</v>
      </c>
      <c r="H94" s="2" t="s">
        <v>67</v>
      </c>
      <c r="I94" s="2" t="s">
        <v>570</v>
      </c>
      <c r="J94" s="2" t="s">
        <v>544</v>
      </c>
      <c r="K94" s="2">
        <v>213.28</v>
      </c>
      <c r="L94" s="2">
        <v>1782.7</v>
      </c>
      <c r="M94" s="2">
        <v>380214.26</v>
      </c>
      <c r="N94" s="2">
        <v>1.6E-2</v>
      </c>
      <c r="O94" s="2">
        <v>6.0834299999999999</v>
      </c>
      <c r="P94" s="2">
        <v>21296.02</v>
      </c>
      <c r="Q94" s="2">
        <v>1.82E-3</v>
      </c>
      <c r="R94" s="2">
        <v>3.8760000000000003E-2</v>
      </c>
      <c r="S94" s="2" t="s">
        <v>545</v>
      </c>
      <c r="T94" s="2" t="s">
        <v>554</v>
      </c>
    </row>
    <row r="95" spans="1:20" ht="24" x14ac:dyDescent="0.25">
      <c r="A95" s="3">
        <v>92</v>
      </c>
      <c r="B95" s="3">
        <v>2023</v>
      </c>
      <c r="C95" s="3" t="s">
        <v>46</v>
      </c>
      <c r="D95" s="3" t="s">
        <v>653</v>
      </c>
      <c r="E95" s="3" t="s">
        <v>88</v>
      </c>
      <c r="F95" s="3" t="s">
        <v>110</v>
      </c>
      <c r="G95" s="3" t="s">
        <v>84</v>
      </c>
      <c r="H95" s="3" t="s">
        <v>128</v>
      </c>
      <c r="I95" s="3" t="s">
        <v>560</v>
      </c>
      <c r="J95" s="3" t="s">
        <v>551</v>
      </c>
      <c r="K95" s="3">
        <v>477.57</v>
      </c>
      <c r="L95" s="3">
        <v>4061.2</v>
      </c>
      <c r="M95" s="3">
        <v>1939507.28</v>
      </c>
      <c r="N95" s="3">
        <v>0.95</v>
      </c>
      <c r="O95" s="3">
        <v>1842.5319199999999</v>
      </c>
      <c r="P95" s="3">
        <v>18353.39</v>
      </c>
      <c r="Q95" s="3">
        <v>1E-3</v>
      </c>
      <c r="R95" s="3">
        <v>1.8350000000000002E-2</v>
      </c>
      <c r="S95" s="3" t="s">
        <v>545</v>
      </c>
      <c r="T95" s="3" t="s">
        <v>554</v>
      </c>
    </row>
    <row r="96" spans="1:20" x14ac:dyDescent="0.25">
      <c r="A96" s="2">
        <v>93</v>
      </c>
      <c r="B96" s="2">
        <v>2023</v>
      </c>
      <c r="C96" s="2" t="s">
        <v>22</v>
      </c>
      <c r="D96" s="2" t="s">
        <v>654</v>
      </c>
      <c r="E96" s="2" t="s">
        <v>110</v>
      </c>
      <c r="F96" s="2" t="s">
        <v>24</v>
      </c>
      <c r="G96" s="2" t="s">
        <v>138</v>
      </c>
      <c r="H96" s="2" t="s">
        <v>140</v>
      </c>
      <c r="I96" s="2" t="s">
        <v>560</v>
      </c>
      <c r="J96" s="2" t="s">
        <v>576</v>
      </c>
      <c r="K96" s="2">
        <v>345.11</v>
      </c>
      <c r="L96" s="2">
        <v>7199.8</v>
      </c>
      <c r="M96" s="2">
        <v>2484722.98</v>
      </c>
      <c r="N96" s="2">
        <v>0.95</v>
      </c>
      <c r="O96" s="2">
        <v>2360.4868299999998</v>
      </c>
      <c r="P96" s="2">
        <v>10601.32</v>
      </c>
      <c r="Q96" s="2">
        <v>1.82E-3</v>
      </c>
      <c r="R96" s="2">
        <v>1.9290000000000002E-2</v>
      </c>
      <c r="S96" s="2" t="s">
        <v>549</v>
      </c>
      <c r="T96" s="2" t="s">
        <v>546</v>
      </c>
    </row>
    <row r="97" spans="1:20" ht="24" x14ac:dyDescent="0.25">
      <c r="A97" s="3">
        <v>94</v>
      </c>
      <c r="B97" s="3">
        <v>2023</v>
      </c>
      <c r="C97" s="3" t="s">
        <v>32</v>
      </c>
      <c r="D97" s="3" t="s">
        <v>655</v>
      </c>
      <c r="E97" s="3" t="s">
        <v>58</v>
      </c>
      <c r="F97" s="3" t="s">
        <v>33</v>
      </c>
      <c r="G97" s="3" t="s">
        <v>75</v>
      </c>
      <c r="H97" s="3" t="s">
        <v>49</v>
      </c>
      <c r="I97" s="3" t="s">
        <v>560</v>
      </c>
      <c r="J97" s="3" t="s">
        <v>576</v>
      </c>
      <c r="K97" s="3">
        <v>455.66</v>
      </c>
      <c r="L97" s="3">
        <v>7266</v>
      </c>
      <c r="M97" s="3">
        <v>3310825.56</v>
      </c>
      <c r="N97" s="3">
        <v>0.95</v>
      </c>
      <c r="O97" s="3">
        <v>3145.2842799999999</v>
      </c>
      <c r="P97" s="3">
        <v>14266.69</v>
      </c>
      <c r="Q97" s="3">
        <v>1.1000000000000001E-3</v>
      </c>
      <c r="R97" s="3">
        <v>1.5689999999999999E-2</v>
      </c>
      <c r="S97" s="3" t="s">
        <v>549</v>
      </c>
      <c r="T97" s="3" t="s">
        <v>554</v>
      </c>
    </row>
    <row r="98" spans="1:20" x14ac:dyDescent="0.25">
      <c r="A98" s="2">
        <v>95</v>
      </c>
      <c r="B98" s="2">
        <v>2023</v>
      </c>
      <c r="C98" s="2" t="s">
        <v>39</v>
      </c>
      <c r="D98" s="2" t="s">
        <v>656</v>
      </c>
      <c r="E98" s="2" t="s">
        <v>88</v>
      </c>
      <c r="F98" s="2" t="s">
        <v>120</v>
      </c>
      <c r="G98" s="2" t="s">
        <v>252</v>
      </c>
      <c r="H98" s="2" t="s">
        <v>42</v>
      </c>
      <c r="I98" s="2" t="s">
        <v>560</v>
      </c>
      <c r="J98" s="2" t="s">
        <v>595</v>
      </c>
      <c r="K98" s="2">
        <v>56.91</v>
      </c>
      <c r="L98" s="2">
        <v>6198.7</v>
      </c>
      <c r="M98" s="2">
        <v>352768.02</v>
      </c>
      <c r="N98" s="2">
        <v>0.95</v>
      </c>
      <c r="O98" s="2">
        <v>335.12961999999999</v>
      </c>
      <c r="P98" s="2">
        <v>1244.71</v>
      </c>
      <c r="Q98" s="2">
        <v>8.1999999999999998E-4</v>
      </c>
      <c r="R98" s="2">
        <v>1.0200000000000001E-3</v>
      </c>
      <c r="S98" s="2" t="s">
        <v>549</v>
      </c>
      <c r="T98" s="2" t="s">
        <v>518</v>
      </c>
    </row>
    <row r="99" spans="1:20" x14ac:dyDescent="0.25">
      <c r="A99" s="3">
        <v>96</v>
      </c>
      <c r="B99" s="3">
        <v>2023</v>
      </c>
      <c r="C99" s="3" t="s">
        <v>46</v>
      </c>
      <c r="D99" s="3" t="s">
        <v>657</v>
      </c>
      <c r="E99" s="3" t="s">
        <v>96</v>
      </c>
      <c r="F99" s="3" t="s">
        <v>65</v>
      </c>
      <c r="G99" s="3" t="s">
        <v>102</v>
      </c>
      <c r="H99" s="3" t="s">
        <v>112</v>
      </c>
      <c r="I99" s="3" t="s">
        <v>570</v>
      </c>
      <c r="J99" s="3" t="s">
        <v>551</v>
      </c>
      <c r="K99" s="3">
        <v>259.79000000000002</v>
      </c>
      <c r="L99" s="3">
        <v>10339.200000000001</v>
      </c>
      <c r="M99" s="3">
        <v>2686020.77</v>
      </c>
      <c r="N99" s="3">
        <v>1.6E-2</v>
      </c>
      <c r="O99" s="3">
        <v>42.976329999999997</v>
      </c>
      <c r="P99" s="3">
        <v>15494.15</v>
      </c>
      <c r="Q99" s="3">
        <v>1.09E-3</v>
      </c>
      <c r="R99" s="3">
        <v>1.6889999999999999E-2</v>
      </c>
      <c r="S99" s="3" t="s">
        <v>549</v>
      </c>
      <c r="T99" s="3" t="s">
        <v>518</v>
      </c>
    </row>
    <row r="100" spans="1:20" x14ac:dyDescent="0.25">
      <c r="A100" s="2">
        <v>97</v>
      </c>
      <c r="B100" s="2">
        <v>2023</v>
      </c>
      <c r="C100" s="2" t="s">
        <v>22</v>
      </c>
      <c r="D100" s="2" t="s">
        <v>658</v>
      </c>
      <c r="E100" s="2" t="s">
        <v>54</v>
      </c>
      <c r="F100" s="2" t="s">
        <v>204</v>
      </c>
      <c r="G100" s="2" t="s">
        <v>183</v>
      </c>
      <c r="H100" s="2" t="s">
        <v>106</v>
      </c>
      <c r="I100" s="2" t="s">
        <v>543</v>
      </c>
      <c r="J100" s="2" t="s">
        <v>571</v>
      </c>
      <c r="K100" s="2">
        <v>27.76</v>
      </c>
      <c r="L100" s="2">
        <v>9668.7999999999993</v>
      </c>
      <c r="M100" s="2">
        <v>268405.89</v>
      </c>
      <c r="N100" s="2">
        <v>3.3000000000000002E-2</v>
      </c>
      <c r="O100" s="2">
        <v>8.8573900000000005</v>
      </c>
      <c r="P100" s="2">
        <v>4007.49</v>
      </c>
      <c r="Q100" s="2">
        <v>1.7600000000000001E-3</v>
      </c>
      <c r="R100" s="2">
        <v>7.0499999999999998E-3</v>
      </c>
      <c r="S100" s="2" t="s">
        <v>545</v>
      </c>
      <c r="T100" s="2" t="s">
        <v>546</v>
      </c>
    </row>
    <row r="101" spans="1:20" x14ac:dyDescent="0.25">
      <c r="A101" s="3">
        <v>98</v>
      </c>
      <c r="B101" s="3">
        <v>2023</v>
      </c>
      <c r="C101" s="3" t="s">
        <v>32</v>
      </c>
      <c r="D101" s="3" t="s">
        <v>659</v>
      </c>
      <c r="E101" s="3" t="s">
        <v>33</v>
      </c>
      <c r="F101" s="3" t="s">
        <v>54</v>
      </c>
      <c r="G101" s="3" t="s">
        <v>53</v>
      </c>
      <c r="H101" s="3" t="s">
        <v>106</v>
      </c>
      <c r="I101" s="3" t="s">
        <v>570</v>
      </c>
      <c r="J101" s="3" t="s">
        <v>571</v>
      </c>
      <c r="K101" s="3">
        <v>485.09</v>
      </c>
      <c r="L101" s="3">
        <v>802.7</v>
      </c>
      <c r="M101" s="3">
        <v>389381.74</v>
      </c>
      <c r="N101" s="3">
        <v>1.6E-2</v>
      </c>
      <c r="O101" s="3">
        <v>6.2301099999999998</v>
      </c>
      <c r="P101" s="3">
        <v>5645.39</v>
      </c>
      <c r="Q101" s="3">
        <v>1.4300000000000001E-3</v>
      </c>
      <c r="R101" s="3">
        <v>8.0700000000000008E-3</v>
      </c>
      <c r="S101" s="3" t="s">
        <v>545</v>
      </c>
      <c r="T101" s="3" t="s">
        <v>518</v>
      </c>
    </row>
    <row r="102" spans="1:20" x14ac:dyDescent="0.25">
      <c r="A102" s="2">
        <v>99</v>
      </c>
      <c r="B102" s="2">
        <v>2023</v>
      </c>
      <c r="C102" s="2" t="s">
        <v>39</v>
      </c>
      <c r="D102" s="2" t="s">
        <v>660</v>
      </c>
      <c r="E102" s="2" t="s">
        <v>96</v>
      </c>
      <c r="F102" s="2" t="s">
        <v>154</v>
      </c>
      <c r="G102" s="2" t="s">
        <v>230</v>
      </c>
      <c r="H102" s="2" t="s">
        <v>106</v>
      </c>
      <c r="I102" s="2" t="s">
        <v>560</v>
      </c>
      <c r="J102" s="2" t="s">
        <v>551</v>
      </c>
      <c r="K102" s="2">
        <v>44.47</v>
      </c>
      <c r="L102" s="2">
        <v>7501.9</v>
      </c>
      <c r="M102" s="2">
        <v>333609.49</v>
      </c>
      <c r="N102" s="2">
        <v>0.95</v>
      </c>
      <c r="O102" s="2">
        <v>316.92901999999998</v>
      </c>
      <c r="P102" s="2">
        <v>7969.93</v>
      </c>
      <c r="Q102" s="2">
        <v>1.97E-3</v>
      </c>
      <c r="R102" s="2">
        <v>1.5699999999999999E-2</v>
      </c>
      <c r="S102" s="2" t="s">
        <v>545</v>
      </c>
      <c r="T102" s="2" t="s">
        <v>546</v>
      </c>
    </row>
    <row r="103" spans="1:20" ht="24" x14ac:dyDescent="0.25">
      <c r="A103" s="3">
        <v>100</v>
      </c>
      <c r="B103" s="3">
        <v>2023</v>
      </c>
      <c r="C103" s="3" t="s">
        <v>46</v>
      </c>
      <c r="D103" s="3" t="s">
        <v>661</v>
      </c>
      <c r="E103" s="3" t="s">
        <v>154</v>
      </c>
      <c r="F103" s="3" t="s">
        <v>117</v>
      </c>
      <c r="G103" s="3" t="s">
        <v>252</v>
      </c>
      <c r="H103" s="3" t="s">
        <v>198</v>
      </c>
      <c r="I103" s="3" t="s">
        <v>543</v>
      </c>
      <c r="J103" s="3" t="s">
        <v>566</v>
      </c>
      <c r="K103" s="3">
        <v>274.77</v>
      </c>
      <c r="L103" s="3">
        <v>12397.3</v>
      </c>
      <c r="M103" s="3">
        <v>3406406.12</v>
      </c>
      <c r="N103" s="3">
        <v>3.3000000000000002E-2</v>
      </c>
      <c r="O103" s="3">
        <v>112.4114</v>
      </c>
      <c r="P103" s="3">
        <v>19815.400000000001</v>
      </c>
      <c r="Q103" s="3">
        <v>1.9400000000000001E-3</v>
      </c>
      <c r="R103" s="3">
        <v>3.8440000000000002E-2</v>
      </c>
      <c r="S103" s="3" t="s">
        <v>545</v>
      </c>
      <c r="T103" s="3" t="s">
        <v>554</v>
      </c>
    </row>
  </sheetData>
  <autoFilter ref="A3:T3" xr:uid="{00000000-0009-0000-0000-000003000000}"/>
  <mergeCells count="2">
    <mergeCell ref="A1:P1"/>
    <mergeCell ref="A2:P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Q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17" width="18" customWidth="1"/>
  </cols>
  <sheetData>
    <row r="1" spans="1:17" ht="28.15" customHeight="1" x14ac:dyDescent="0.25">
      <c r="A1" s="27" t="s">
        <v>662</v>
      </c>
      <c r="B1" s="28"/>
      <c r="C1" s="28"/>
      <c r="D1" s="28"/>
      <c r="E1" s="28"/>
      <c r="F1" s="28"/>
      <c r="G1" s="28"/>
      <c r="H1" s="28"/>
      <c r="I1" s="28"/>
      <c r="J1" s="28"/>
      <c r="K1" s="28"/>
      <c r="L1" s="28"/>
      <c r="M1" s="28"/>
      <c r="N1" s="28"/>
      <c r="O1" s="28"/>
      <c r="P1" s="28"/>
    </row>
    <row r="2" spans="1:17" ht="18" customHeight="1" x14ac:dyDescent="0.25">
      <c r="A2" s="29" t="s">
        <v>1</v>
      </c>
      <c r="B2" s="28"/>
      <c r="C2" s="28"/>
      <c r="D2" s="28"/>
      <c r="E2" s="28"/>
      <c r="F2" s="28"/>
      <c r="G2" s="28"/>
      <c r="H2" s="28"/>
      <c r="I2" s="28"/>
      <c r="J2" s="28"/>
      <c r="K2" s="28"/>
      <c r="L2" s="28"/>
      <c r="M2" s="28"/>
      <c r="N2" s="28"/>
      <c r="O2" s="28"/>
      <c r="P2" s="28"/>
    </row>
    <row r="3" spans="1:17" ht="38.25" x14ac:dyDescent="0.25">
      <c r="A3" s="1" t="s">
        <v>2</v>
      </c>
      <c r="B3" s="1" t="s">
        <v>3</v>
      </c>
      <c r="C3" s="1" t="s">
        <v>4</v>
      </c>
      <c r="D3" s="1" t="s">
        <v>489</v>
      </c>
      <c r="E3" s="1" t="s">
        <v>490</v>
      </c>
      <c r="F3" s="1" t="s">
        <v>663</v>
      </c>
      <c r="G3" s="1" t="s">
        <v>664</v>
      </c>
      <c r="H3" s="1" t="s">
        <v>665</v>
      </c>
      <c r="I3" s="1" t="s">
        <v>666</v>
      </c>
      <c r="J3" s="1" t="s">
        <v>667</v>
      </c>
      <c r="K3" s="1" t="s">
        <v>668</v>
      </c>
      <c r="L3" s="1" t="s">
        <v>538</v>
      </c>
      <c r="M3" s="1" t="s">
        <v>669</v>
      </c>
      <c r="N3" s="1" t="s">
        <v>670</v>
      </c>
      <c r="O3" s="1" t="s">
        <v>671</v>
      </c>
      <c r="P3" s="1" t="s">
        <v>500</v>
      </c>
      <c r="Q3" s="1" t="s">
        <v>299</v>
      </c>
    </row>
    <row r="4" spans="1:17" ht="24" x14ac:dyDescent="0.25">
      <c r="A4" s="2">
        <v>1</v>
      </c>
      <c r="B4" s="2">
        <v>2023</v>
      </c>
      <c r="C4" s="2" t="s">
        <v>22</v>
      </c>
      <c r="D4" s="2" t="s">
        <v>672</v>
      </c>
      <c r="E4" s="2" t="s">
        <v>58</v>
      </c>
      <c r="F4" s="2" t="s">
        <v>673</v>
      </c>
      <c r="G4" s="2" t="s">
        <v>673</v>
      </c>
      <c r="H4" s="2">
        <v>2.8079999999999998</v>
      </c>
      <c r="I4" s="2" t="s">
        <v>674</v>
      </c>
      <c r="J4" s="2" t="s">
        <v>675</v>
      </c>
      <c r="K4" s="2">
        <v>0.54690000000000005</v>
      </c>
      <c r="L4" s="2">
        <v>1.5399999999999999E-3</v>
      </c>
      <c r="M4" s="2">
        <v>1.149</v>
      </c>
      <c r="N4" s="2">
        <v>40.9</v>
      </c>
      <c r="O4" s="2">
        <v>2822.75</v>
      </c>
      <c r="P4" s="2" t="s">
        <v>676</v>
      </c>
      <c r="Q4" s="2" t="s">
        <v>518</v>
      </c>
    </row>
    <row r="5" spans="1:17" ht="24" x14ac:dyDescent="0.25">
      <c r="A5" s="3">
        <v>2</v>
      </c>
      <c r="B5" s="3">
        <v>2023</v>
      </c>
      <c r="C5" s="3" t="s">
        <v>32</v>
      </c>
      <c r="D5" s="3" t="s">
        <v>677</v>
      </c>
      <c r="E5" s="3" t="s">
        <v>54</v>
      </c>
      <c r="F5" s="3" t="s">
        <v>673</v>
      </c>
      <c r="G5" s="3" t="s">
        <v>673</v>
      </c>
      <c r="H5" s="3">
        <v>22.681000000000001</v>
      </c>
      <c r="I5" s="3" t="s">
        <v>678</v>
      </c>
      <c r="J5" s="3" t="s">
        <v>679</v>
      </c>
      <c r="K5" s="3">
        <v>0.50919999999999999</v>
      </c>
      <c r="L5" s="3">
        <v>1.155E-2</v>
      </c>
      <c r="M5" s="3">
        <v>13.45</v>
      </c>
      <c r="N5" s="3">
        <v>59.3</v>
      </c>
      <c r="O5" s="3">
        <v>60.87</v>
      </c>
      <c r="P5" s="3" t="s">
        <v>676</v>
      </c>
      <c r="Q5" s="3" t="s">
        <v>518</v>
      </c>
    </row>
    <row r="6" spans="1:17" ht="24" x14ac:dyDescent="0.25">
      <c r="A6" s="2">
        <v>3</v>
      </c>
      <c r="B6" s="2">
        <v>2023</v>
      </c>
      <c r="C6" s="2" t="s">
        <v>39</v>
      </c>
      <c r="D6" s="2" t="s">
        <v>680</v>
      </c>
      <c r="E6" s="2" t="s">
        <v>96</v>
      </c>
      <c r="F6" s="2" t="s">
        <v>681</v>
      </c>
      <c r="G6" s="2" t="s">
        <v>681</v>
      </c>
      <c r="H6" s="2">
        <v>35.134999999999998</v>
      </c>
      <c r="I6" s="2" t="s">
        <v>682</v>
      </c>
      <c r="J6" s="2" t="s">
        <v>683</v>
      </c>
      <c r="K6" s="2">
        <v>6.5799999999999997E-2</v>
      </c>
      <c r="L6" s="2">
        <v>1.7600000000000001E-3</v>
      </c>
      <c r="M6" s="2">
        <v>5.1909999999999998</v>
      </c>
      <c r="N6" s="2">
        <v>14.8</v>
      </c>
      <c r="O6" s="2">
        <v>745.22</v>
      </c>
      <c r="P6" s="2" t="s">
        <v>676</v>
      </c>
      <c r="Q6" s="2" t="s">
        <v>684</v>
      </c>
    </row>
    <row r="7" spans="1:17" ht="24" x14ac:dyDescent="0.25">
      <c r="A7" s="3">
        <v>4</v>
      </c>
      <c r="B7" s="3">
        <v>2023</v>
      </c>
      <c r="C7" s="3" t="s">
        <v>46</v>
      </c>
      <c r="D7" s="3" t="s">
        <v>685</v>
      </c>
      <c r="E7" s="3" t="s">
        <v>96</v>
      </c>
      <c r="F7" s="3" t="s">
        <v>686</v>
      </c>
      <c r="G7" s="3" t="s">
        <v>686</v>
      </c>
      <c r="H7" s="3">
        <v>9.8759999999999994</v>
      </c>
      <c r="I7" s="3" t="s">
        <v>687</v>
      </c>
      <c r="J7" s="3" t="s">
        <v>688</v>
      </c>
      <c r="K7" s="3">
        <v>0.77429999999999999</v>
      </c>
      <c r="L7" s="3">
        <v>7.6499999999999997E-3</v>
      </c>
      <c r="M7" s="3">
        <v>7.5750000000000002</v>
      </c>
      <c r="N7" s="3">
        <v>76.7</v>
      </c>
      <c r="O7" s="3">
        <v>1117.17</v>
      </c>
      <c r="P7" s="3" t="s">
        <v>676</v>
      </c>
      <c r="Q7" s="3" t="s">
        <v>684</v>
      </c>
    </row>
    <row r="8" spans="1:17" ht="24" x14ac:dyDescent="0.25">
      <c r="A8" s="2">
        <v>5</v>
      </c>
      <c r="B8" s="2">
        <v>2023</v>
      </c>
      <c r="C8" s="2" t="s">
        <v>22</v>
      </c>
      <c r="D8" s="2" t="s">
        <v>689</v>
      </c>
      <c r="E8" s="2" t="s">
        <v>204</v>
      </c>
      <c r="F8" s="2" t="s">
        <v>690</v>
      </c>
      <c r="G8" s="2" t="s">
        <v>690</v>
      </c>
      <c r="H8" s="2">
        <v>46.338999999999999</v>
      </c>
      <c r="I8" s="2" t="s">
        <v>691</v>
      </c>
      <c r="J8" s="2" t="s">
        <v>692</v>
      </c>
      <c r="K8" s="2">
        <v>0.30470000000000003</v>
      </c>
      <c r="L8" s="2">
        <v>1.4120000000000001E-2</v>
      </c>
      <c r="M8" s="2">
        <v>0</v>
      </c>
      <c r="N8" s="2">
        <v>0</v>
      </c>
      <c r="O8" s="2">
        <v>2964.61</v>
      </c>
      <c r="P8" s="2" t="s">
        <v>676</v>
      </c>
      <c r="Q8" s="2" t="s">
        <v>518</v>
      </c>
    </row>
    <row r="9" spans="1:17" ht="24" x14ac:dyDescent="0.25">
      <c r="A9" s="3">
        <v>6</v>
      </c>
      <c r="B9" s="3">
        <v>2023</v>
      </c>
      <c r="C9" s="3" t="s">
        <v>32</v>
      </c>
      <c r="D9" s="3" t="s">
        <v>672</v>
      </c>
      <c r="E9" s="3" t="s">
        <v>204</v>
      </c>
      <c r="F9" s="3" t="s">
        <v>693</v>
      </c>
      <c r="G9" s="3" t="s">
        <v>693</v>
      </c>
      <c r="H9" s="3">
        <v>0.316</v>
      </c>
      <c r="I9" s="3" t="s">
        <v>694</v>
      </c>
      <c r="J9" s="3" t="s">
        <v>695</v>
      </c>
      <c r="K9" s="3">
        <v>4.6699999999999998E-2</v>
      </c>
      <c r="L9" s="3">
        <v>1.0000000000000001E-5</v>
      </c>
      <c r="M9" s="3">
        <v>0.157</v>
      </c>
      <c r="N9" s="3">
        <v>49.7</v>
      </c>
      <c r="O9" s="3">
        <v>2192.41</v>
      </c>
      <c r="P9" s="3" t="s">
        <v>676</v>
      </c>
      <c r="Q9" s="3" t="s">
        <v>684</v>
      </c>
    </row>
    <row r="10" spans="1:17" ht="24" x14ac:dyDescent="0.25">
      <c r="A10" s="2">
        <v>7</v>
      </c>
      <c r="B10" s="2">
        <v>2023</v>
      </c>
      <c r="C10" s="2" t="s">
        <v>39</v>
      </c>
      <c r="D10" s="2" t="s">
        <v>677</v>
      </c>
      <c r="E10" s="2" t="s">
        <v>139</v>
      </c>
      <c r="F10" s="2" t="s">
        <v>696</v>
      </c>
      <c r="G10" s="2" t="s">
        <v>696</v>
      </c>
      <c r="H10" s="2">
        <v>36.552</v>
      </c>
      <c r="I10" s="2" t="s">
        <v>697</v>
      </c>
      <c r="J10" s="2" t="s">
        <v>683</v>
      </c>
      <c r="K10" s="2">
        <v>0.60489999999999999</v>
      </c>
      <c r="L10" s="2">
        <v>2.2110000000000001E-2</v>
      </c>
      <c r="M10" s="2">
        <v>12.744</v>
      </c>
      <c r="N10" s="2">
        <v>34.9</v>
      </c>
      <c r="O10" s="2">
        <v>3022.7</v>
      </c>
      <c r="P10" s="2" t="s">
        <v>676</v>
      </c>
      <c r="Q10" s="2" t="s">
        <v>698</v>
      </c>
    </row>
    <row r="11" spans="1:17" ht="24" x14ac:dyDescent="0.25">
      <c r="A11" s="3">
        <v>8</v>
      </c>
      <c r="B11" s="3">
        <v>2023</v>
      </c>
      <c r="C11" s="3" t="s">
        <v>46</v>
      </c>
      <c r="D11" s="3" t="s">
        <v>689</v>
      </c>
      <c r="E11" s="3" t="s">
        <v>92</v>
      </c>
      <c r="F11" s="3" t="s">
        <v>696</v>
      </c>
      <c r="G11" s="3" t="s">
        <v>696</v>
      </c>
      <c r="H11" s="3">
        <v>38.142000000000003</v>
      </c>
      <c r="I11" s="3" t="s">
        <v>678</v>
      </c>
      <c r="J11" s="3" t="s">
        <v>699</v>
      </c>
      <c r="K11" s="3">
        <v>0.65580000000000005</v>
      </c>
      <c r="L11" s="3">
        <v>2.5010000000000001E-2</v>
      </c>
      <c r="M11" s="3">
        <v>33.078000000000003</v>
      </c>
      <c r="N11" s="3">
        <v>86.7</v>
      </c>
      <c r="O11" s="3">
        <v>4853.93</v>
      </c>
      <c r="P11" s="3" t="s">
        <v>676</v>
      </c>
      <c r="Q11" s="3" t="s">
        <v>684</v>
      </c>
    </row>
    <row r="12" spans="1:17" ht="24" x14ac:dyDescent="0.25">
      <c r="A12" s="2">
        <v>9</v>
      </c>
      <c r="B12" s="2">
        <v>2023</v>
      </c>
      <c r="C12" s="2" t="s">
        <v>22</v>
      </c>
      <c r="D12" s="2" t="s">
        <v>677</v>
      </c>
      <c r="E12" s="2" t="s">
        <v>96</v>
      </c>
      <c r="F12" s="2" t="s">
        <v>690</v>
      </c>
      <c r="G12" s="2" t="s">
        <v>690</v>
      </c>
      <c r="H12" s="2">
        <v>35.030999999999999</v>
      </c>
      <c r="I12" s="2" t="s">
        <v>687</v>
      </c>
      <c r="J12" s="2" t="s">
        <v>695</v>
      </c>
      <c r="K12" s="2">
        <v>0.29360000000000003</v>
      </c>
      <c r="L12" s="2">
        <v>1.0290000000000001E-2</v>
      </c>
      <c r="M12" s="2">
        <v>9.4239999999999995</v>
      </c>
      <c r="N12" s="2">
        <v>26.9</v>
      </c>
      <c r="O12" s="2">
        <v>3522.4</v>
      </c>
      <c r="P12" s="2" t="s">
        <v>676</v>
      </c>
      <c r="Q12" s="2" t="s">
        <v>518</v>
      </c>
    </row>
    <row r="13" spans="1:17" ht="24" x14ac:dyDescent="0.25">
      <c r="A13" s="3">
        <v>10</v>
      </c>
      <c r="B13" s="3">
        <v>2023</v>
      </c>
      <c r="C13" s="3" t="s">
        <v>32</v>
      </c>
      <c r="D13" s="3" t="s">
        <v>685</v>
      </c>
      <c r="E13" s="3" t="s">
        <v>96</v>
      </c>
      <c r="F13" s="3" t="s">
        <v>700</v>
      </c>
      <c r="G13" s="3" t="s">
        <v>700</v>
      </c>
      <c r="H13" s="3">
        <v>10.565</v>
      </c>
      <c r="I13" s="3" t="s">
        <v>697</v>
      </c>
      <c r="J13" s="3" t="s">
        <v>699</v>
      </c>
      <c r="K13" s="3">
        <v>0.43969999999999998</v>
      </c>
      <c r="L13" s="3">
        <v>4.6499999999999996E-3</v>
      </c>
      <c r="M13" s="3">
        <v>6.5289999999999999</v>
      </c>
      <c r="N13" s="3">
        <v>61.8</v>
      </c>
      <c r="O13" s="3">
        <v>4609.8999999999996</v>
      </c>
      <c r="P13" s="3" t="s">
        <v>676</v>
      </c>
      <c r="Q13" s="3" t="s">
        <v>518</v>
      </c>
    </row>
    <row r="14" spans="1:17" ht="24" x14ac:dyDescent="0.25">
      <c r="A14" s="2">
        <v>11</v>
      </c>
      <c r="B14" s="2">
        <v>2023</v>
      </c>
      <c r="C14" s="2" t="s">
        <v>39</v>
      </c>
      <c r="D14" s="2" t="s">
        <v>672</v>
      </c>
      <c r="E14" s="2" t="s">
        <v>58</v>
      </c>
      <c r="F14" s="2" t="s">
        <v>681</v>
      </c>
      <c r="G14" s="2" t="s">
        <v>681</v>
      </c>
      <c r="H14" s="2">
        <v>31.88</v>
      </c>
      <c r="I14" s="2" t="s">
        <v>678</v>
      </c>
      <c r="J14" s="2" t="s">
        <v>683</v>
      </c>
      <c r="K14" s="2">
        <v>9.2399999999999996E-2</v>
      </c>
      <c r="L14" s="2">
        <v>2.9499999999999999E-3</v>
      </c>
      <c r="M14" s="2">
        <v>21.827999999999999</v>
      </c>
      <c r="N14" s="2">
        <v>68.5</v>
      </c>
      <c r="O14" s="2">
        <v>2833.29</v>
      </c>
      <c r="P14" s="2" t="s">
        <v>676</v>
      </c>
      <c r="Q14" s="2" t="s">
        <v>518</v>
      </c>
    </row>
    <row r="15" spans="1:17" ht="24" x14ac:dyDescent="0.25">
      <c r="A15" s="3">
        <v>12</v>
      </c>
      <c r="B15" s="3">
        <v>2023</v>
      </c>
      <c r="C15" s="3" t="s">
        <v>46</v>
      </c>
      <c r="D15" s="3" t="s">
        <v>689</v>
      </c>
      <c r="E15" s="3" t="s">
        <v>110</v>
      </c>
      <c r="F15" s="3" t="s">
        <v>681</v>
      </c>
      <c r="G15" s="3" t="s">
        <v>681</v>
      </c>
      <c r="H15" s="3">
        <v>43.886000000000003</v>
      </c>
      <c r="I15" s="3" t="s">
        <v>682</v>
      </c>
      <c r="J15" s="3" t="s">
        <v>701</v>
      </c>
      <c r="K15" s="3">
        <v>8.09E-2</v>
      </c>
      <c r="L15" s="3">
        <v>2.1900000000000001E-3</v>
      </c>
      <c r="M15" s="3">
        <v>0.504</v>
      </c>
      <c r="N15" s="3">
        <v>1.1000000000000001</v>
      </c>
      <c r="O15" s="3">
        <v>577.03</v>
      </c>
      <c r="P15" s="3" t="s">
        <v>676</v>
      </c>
      <c r="Q15" s="3" t="s">
        <v>518</v>
      </c>
    </row>
    <row r="16" spans="1:17" ht="24" x14ac:dyDescent="0.25">
      <c r="A16" s="2">
        <v>13</v>
      </c>
      <c r="B16" s="2">
        <v>2023</v>
      </c>
      <c r="C16" s="2" t="s">
        <v>22</v>
      </c>
      <c r="D16" s="2" t="s">
        <v>685</v>
      </c>
      <c r="E16" s="2" t="s">
        <v>54</v>
      </c>
      <c r="F16" s="2" t="s">
        <v>702</v>
      </c>
      <c r="G16" s="2" t="s">
        <v>702</v>
      </c>
      <c r="H16" s="2">
        <v>13.422000000000001</v>
      </c>
      <c r="I16" s="2" t="s">
        <v>697</v>
      </c>
      <c r="J16" s="2" t="s">
        <v>701</v>
      </c>
      <c r="K16" s="2">
        <v>0.53669999999999995</v>
      </c>
      <c r="L16" s="2">
        <v>7.1999999999999998E-3</v>
      </c>
      <c r="M16" s="2">
        <v>11.881</v>
      </c>
      <c r="N16" s="2">
        <v>88.5</v>
      </c>
      <c r="O16" s="2">
        <v>3432.78</v>
      </c>
      <c r="P16" s="2" t="s">
        <v>676</v>
      </c>
      <c r="Q16" s="2" t="s">
        <v>518</v>
      </c>
    </row>
    <row r="17" spans="1:17" ht="24" x14ac:dyDescent="0.25">
      <c r="A17" s="3">
        <v>14</v>
      </c>
      <c r="B17" s="3">
        <v>2023</v>
      </c>
      <c r="C17" s="3" t="s">
        <v>32</v>
      </c>
      <c r="D17" s="3" t="s">
        <v>680</v>
      </c>
      <c r="E17" s="3" t="s">
        <v>96</v>
      </c>
      <c r="F17" s="3" t="s">
        <v>686</v>
      </c>
      <c r="G17" s="3" t="s">
        <v>686</v>
      </c>
      <c r="H17" s="3">
        <v>37.704000000000001</v>
      </c>
      <c r="I17" s="3" t="s">
        <v>697</v>
      </c>
      <c r="J17" s="3" t="s">
        <v>695</v>
      </c>
      <c r="K17" s="3">
        <v>0.73450000000000004</v>
      </c>
      <c r="L17" s="3">
        <v>2.7689999999999999E-2</v>
      </c>
      <c r="M17" s="3">
        <v>27.623000000000001</v>
      </c>
      <c r="N17" s="3">
        <v>73.3</v>
      </c>
      <c r="O17" s="3">
        <v>557.28</v>
      </c>
      <c r="P17" s="3" t="s">
        <v>676</v>
      </c>
      <c r="Q17" s="3" t="s">
        <v>684</v>
      </c>
    </row>
    <row r="18" spans="1:17" ht="24" x14ac:dyDescent="0.25">
      <c r="A18" s="2">
        <v>15</v>
      </c>
      <c r="B18" s="2">
        <v>2023</v>
      </c>
      <c r="C18" s="2" t="s">
        <v>39</v>
      </c>
      <c r="D18" s="2" t="s">
        <v>680</v>
      </c>
      <c r="E18" s="2" t="s">
        <v>120</v>
      </c>
      <c r="F18" s="2" t="s">
        <v>681</v>
      </c>
      <c r="G18" s="2" t="s">
        <v>681</v>
      </c>
      <c r="H18" s="2">
        <v>11.956</v>
      </c>
      <c r="I18" s="2" t="s">
        <v>694</v>
      </c>
      <c r="J18" s="2" t="s">
        <v>683</v>
      </c>
      <c r="K18" s="2">
        <v>9.5399999999999999E-2</v>
      </c>
      <c r="L18" s="2">
        <v>1.14E-3</v>
      </c>
      <c r="M18" s="2">
        <v>8.5960000000000001</v>
      </c>
      <c r="N18" s="2">
        <v>71.900000000000006</v>
      </c>
      <c r="O18" s="2">
        <v>1473.81</v>
      </c>
      <c r="P18" s="2" t="s">
        <v>676</v>
      </c>
      <c r="Q18" s="2" t="s">
        <v>698</v>
      </c>
    </row>
    <row r="19" spans="1:17" ht="24" x14ac:dyDescent="0.25">
      <c r="A19" s="3">
        <v>16</v>
      </c>
      <c r="B19" s="3">
        <v>2023</v>
      </c>
      <c r="C19" s="3" t="s">
        <v>46</v>
      </c>
      <c r="D19" s="3" t="s">
        <v>677</v>
      </c>
      <c r="E19" s="3" t="s">
        <v>65</v>
      </c>
      <c r="F19" s="3" t="s">
        <v>690</v>
      </c>
      <c r="G19" s="3" t="s">
        <v>690</v>
      </c>
      <c r="H19" s="3">
        <v>48.793999999999997</v>
      </c>
      <c r="I19" s="3" t="s">
        <v>674</v>
      </c>
      <c r="J19" s="3" t="s">
        <v>692</v>
      </c>
      <c r="K19" s="3">
        <v>0.23910000000000001</v>
      </c>
      <c r="L19" s="3">
        <v>1.167E-2</v>
      </c>
      <c r="M19" s="3">
        <v>24.245999999999999</v>
      </c>
      <c r="N19" s="3">
        <v>49.7</v>
      </c>
      <c r="O19" s="3">
        <v>114.18</v>
      </c>
      <c r="P19" s="3" t="s">
        <v>676</v>
      </c>
      <c r="Q19" s="3" t="s">
        <v>698</v>
      </c>
    </row>
    <row r="20" spans="1:17" ht="24" x14ac:dyDescent="0.25">
      <c r="A20" s="2">
        <v>17</v>
      </c>
      <c r="B20" s="2">
        <v>2023</v>
      </c>
      <c r="C20" s="2" t="s">
        <v>22</v>
      </c>
      <c r="D20" s="2" t="s">
        <v>672</v>
      </c>
      <c r="E20" s="2" t="s">
        <v>65</v>
      </c>
      <c r="F20" s="2" t="s">
        <v>700</v>
      </c>
      <c r="G20" s="2" t="s">
        <v>700</v>
      </c>
      <c r="H20" s="2">
        <v>35.261000000000003</v>
      </c>
      <c r="I20" s="2" t="s">
        <v>678</v>
      </c>
      <c r="J20" s="2" t="s">
        <v>703</v>
      </c>
      <c r="K20" s="2">
        <v>0.42709999999999998</v>
      </c>
      <c r="L20" s="2">
        <v>1.506E-2</v>
      </c>
      <c r="M20" s="2">
        <v>23.963000000000001</v>
      </c>
      <c r="N20" s="2">
        <v>68</v>
      </c>
      <c r="O20" s="2">
        <v>2755.74</v>
      </c>
      <c r="P20" s="2" t="s">
        <v>676</v>
      </c>
      <c r="Q20" s="2" t="s">
        <v>698</v>
      </c>
    </row>
    <row r="21" spans="1:17" ht="24" x14ac:dyDescent="0.25">
      <c r="A21" s="3">
        <v>18</v>
      </c>
      <c r="B21" s="3">
        <v>2023</v>
      </c>
      <c r="C21" s="3" t="s">
        <v>32</v>
      </c>
      <c r="D21" s="3" t="s">
        <v>704</v>
      </c>
      <c r="E21" s="3" t="s">
        <v>33</v>
      </c>
      <c r="F21" s="3" t="s">
        <v>705</v>
      </c>
      <c r="G21" s="3" t="s">
        <v>705</v>
      </c>
      <c r="H21" s="3">
        <v>49.173999999999999</v>
      </c>
      <c r="I21" s="3" t="s">
        <v>697</v>
      </c>
      <c r="J21" s="3" t="s">
        <v>701</v>
      </c>
      <c r="K21" s="3">
        <v>8.3999999999999995E-3</v>
      </c>
      <c r="L21" s="3">
        <v>4.0999999999999999E-4</v>
      </c>
      <c r="M21" s="3">
        <v>42.595999999999997</v>
      </c>
      <c r="N21" s="3">
        <v>86.6</v>
      </c>
      <c r="O21" s="3">
        <v>3688.64</v>
      </c>
      <c r="P21" s="3" t="s">
        <v>676</v>
      </c>
      <c r="Q21" s="3" t="s">
        <v>698</v>
      </c>
    </row>
    <row r="22" spans="1:17" ht="24" x14ac:dyDescent="0.25">
      <c r="A22" s="2">
        <v>19</v>
      </c>
      <c r="B22" s="2">
        <v>2023</v>
      </c>
      <c r="C22" s="2" t="s">
        <v>39</v>
      </c>
      <c r="D22" s="2" t="s">
        <v>689</v>
      </c>
      <c r="E22" s="2" t="s">
        <v>96</v>
      </c>
      <c r="F22" s="2" t="s">
        <v>686</v>
      </c>
      <c r="G22" s="2" t="s">
        <v>686</v>
      </c>
      <c r="H22" s="2">
        <v>13.286</v>
      </c>
      <c r="I22" s="2" t="s">
        <v>687</v>
      </c>
      <c r="J22" s="2" t="s">
        <v>699</v>
      </c>
      <c r="K22" s="2">
        <v>0.79239999999999999</v>
      </c>
      <c r="L22" s="2">
        <v>1.0529999999999999E-2</v>
      </c>
      <c r="M22" s="2">
        <v>10.116</v>
      </c>
      <c r="N22" s="2">
        <v>76.099999999999994</v>
      </c>
      <c r="O22" s="2">
        <v>77.94</v>
      </c>
      <c r="P22" s="2" t="s">
        <v>676</v>
      </c>
      <c r="Q22" s="2" t="s">
        <v>684</v>
      </c>
    </row>
    <row r="23" spans="1:17" ht="24" x14ac:dyDescent="0.25">
      <c r="A23" s="3">
        <v>20</v>
      </c>
      <c r="B23" s="3">
        <v>2023</v>
      </c>
      <c r="C23" s="3" t="s">
        <v>46</v>
      </c>
      <c r="D23" s="3" t="s">
        <v>677</v>
      </c>
      <c r="E23" s="3" t="s">
        <v>204</v>
      </c>
      <c r="F23" s="3" t="s">
        <v>693</v>
      </c>
      <c r="G23" s="3" t="s">
        <v>693</v>
      </c>
      <c r="H23" s="3">
        <v>29.884</v>
      </c>
      <c r="I23" s="3" t="s">
        <v>682</v>
      </c>
      <c r="J23" s="3" t="s">
        <v>692</v>
      </c>
      <c r="K23" s="3">
        <v>4.7500000000000001E-2</v>
      </c>
      <c r="L23" s="3">
        <v>1.49E-3</v>
      </c>
      <c r="M23" s="3">
        <v>16.82</v>
      </c>
      <c r="N23" s="3">
        <v>56.3</v>
      </c>
      <c r="O23" s="3">
        <v>4223.54</v>
      </c>
      <c r="P23" s="3" t="s">
        <v>676</v>
      </c>
      <c r="Q23" s="3" t="s">
        <v>518</v>
      </c>
    </row>
    <row r="24" spans="1:17" ht="24" x14ac:dyDescent="0.25">
      <c r="A24" s="2">
        <v>21</v>
      </c>
      <c r="B24" s="2">
        <v>2023</v>
      </c>
      <c r="C24" s="2" t="s">
        <v>22</v>
      </c>
      <c r="D24" s="2" t="s">
        <v>685</v>
      </c>
      <c r="E24" s="2" t="s">
        <v>139</v>
      </c>
      <c r="F24" s="2" t="s">
        <v>673</v>
      </c>
      <c r="G24" s="2" t="s">
        <v>673</v>
      </c>
      <c r="H24" s="2">
        <v>39.222999999999999</v>
      </c>
      <c r="I24" s="2" t="s">
        <v>691</v>
      </c>
      <c r="J24" s="2" t="s">
        <v>706</v>
      </c>
      <c r="K24" s="2">
        <v>0.57540000000000002</v>
      </c>
      <c r="L24" s="2">
        <v>2.257E-2</v>
      </c>
      <c r="M24" s="2">
        <v>0</v>
      </c>
      <c r="N24" s="2">
        <v>0</v>
      </c>
      <c r="O24" s="2">
        <v>1138.81</v>
      </c>
      <c r="P24" s="2" t="s">
        <v>676</v>
      </c>
      <c r="Q24" s="2" t="s">
        <v>518</v>
      </c>
    </row>
    <row r="25" spans="1:17" ht="24" x14ac:dyDescent="0.25">
      <c r="A25" s="3">
        <v>22</v>
      </c>
      <c r="B25" s="3">
        <v>2023</v>
      </c>
      <c r="C25" s="3" t="s">
        <v>32</v>
      </c>
      <c r="D25" s="3" t="s">
        <v>680</v>
      </c>
      <c r="E25" s="3" t="s">
        <v>88</v>
      </c>
      <c r="F25" s="3" t="s">
        <v>693</v>
      </c>
      <c r="G25" s="3" t="s">
        <v>693</v>
      </c>
      <c r="H25" s="3">
        <v>27.2</v>
      </c>
      <c r="I25" s="3" t="s">
        <v>694</v>
      </c>
      <c r="J25" s="3" t="s">
        <v>688</v>
      </c>
      <c r="K25" s="3">
        <v>4.0099999999999997E-2</v>
      </c>
      <c r="L25" s="3">
        <v>1.09E-3</v>
      </c>
      <c r="M25" s="3">
        <v>8.5530000000000008</v>
      </c>
      <c r="N25" s="3">
        <v>31.4</v>
      </c>
      <c r="O25" s="3">
        <v>4422.8100000000004</v>
      </c>
      <c r="P25" s="3" t="s">
        <v>676</v>
      </c>
      <c r="Q25" s="3" t="s">
        <v>698</v>
      </c>
    </row>
    <row r="26" spans="1:17" ht="24" x14ac:dyDescent="0.25">
      <c r="A26" s="2">
        <v>23</v>
      </c>
      <c r="B26" s="2">
        <v>2023</v>
      </c>
      <c r="C26" s="2" t="s">
        <v>39</v>
      </c>
      <c r="D26" s="2" t="s">
        <v>680</v>
      </c>
      <c r="E26" s="2" t="s">
        <v>120</v>
      </c>
      <c r="F26" s="2" t="s">
        <v>686</v>
      </c>
      <c r="G26" s="2" t="s">
        <v>686</v>
      </c>
      <c r="H26" s="2">
        <v>47.52</v>
      </c>
      <c r="I26" s="2" t="s">
        <v>697</v>
      </c>
      <c r="J26" s="2" t="s">
        <v>706</v>
      </c>
      <c r="K26" s="2">
        <v>0.99819999999999998</v>
      </c>
      <c r="L26" s="2">
        <v>4.743E-2</v>
      </c>
      <c r="M26" s="2">
        <v>20.309000000000001</v>
      </c>
      <c r="N26" s="2">
        <v>42.7</v>
      </c>
      <c r="O26" s="2">
        <v>2828.61</v>
      </c>
      <c r="P26" s="2" t="s">
        <v>676</v>
      </c>
      <c r="Q26" s="2" t="s">
        <v>518</v>
      </c>
    </row>
    <row r="27" spans="1:17" ht="24" x14ac:dyDescent="0.25">
      <c r="A27" s="3">
        <v>24</v>
      </c>
      <c r="B27" s="3">
        <v>2023</v>
      </c>
      <c r="C27" s="3" t="s">
        <v>46</v>
      </c>
      <c r="D27" s="3" t="s">
        <v>704</v>
      </c>
      <c r="E27" s="3" t="s">
        <v>154</v>
      </c>
      <c r="F27" s="3" t="s">
        <v>673</v>
      </c>
      <c r="G27" s="3" t="s">
        <v>673</v>
      </c>
      <c r="H27" s="3">
        <v>12.093</v>
      </c>
      <c r="I27" s="3" t="s">
        <v>694</v>
      </c>
      <c r="J27" s="3" t="s">
        <v>688</v>
      </c>
      <c r="K27" s="3">
        <v>0.67269999999999996</v>
      </c>
      <c r="L27" s="3">
        <v>8.1300000000000001E-3</v>
      </c>
      <c r="M27" s="3">
        <v>9.9979999999999993</v>
      </c>
      <c r="N27" s="3">
        <v>82.7</v>
      </c>
      <c r="O27" s="3">
        <v>1256.94</v>
      </c>
      <c r="P27" s="3" t="s">
        <v>676</v>
      </c>
      <c r="Q27" s="3" t="s">
        <v>698</v>
      </c>
    </row>
    <row r="28" spans="1:17" ht="24" x14ac:dyDescent="0.25">
      <c r="A28" s="2">
        <v>25</v>
      </c>
      <c r="B28" s="2">
        <v>2023</v>
      </c>
      <c r="C28" s="2" t="s">
        <v>22</v>
      </c>
      <c r="D28" s="2" t="s">
        <v>677</v>
      </c>
      <c r="E28" s="2" t="s">
        <v>139</v>
      </c>
      <c r="F28" s="2" t="s">
        <v>707</v>
      </c>
      <c r="G28" s="2" t="s">
        <v>707</v>
      </c>
      <c r="H28" s="2">
        <v>12.904</v>
      </c>
      <c r="I28" s="2" t="s">
        <v>694</v>
      </c>
      <c r="J28" s="2" t="s">
        <v>695</v>
      </c>
      <c r="K28" s="2">
        <v>1.3944000000000001</v>
      </c>
      <c r="L28" s="2">
        <v>1.7989999999999999E-2</v>
      </c>
      <c r="M28" s="2">
        <v>0.28699999999999998</v>
      </c>
      <c r="N28" s="2">
        <v>2.2000000000000002</v>
      </c>
      <c r="O28" s="2">
        <v>2608.5</v>
      </c>
      <c r="P28" s="2" t="s">
        <v>676</v>
      </c>
      <c r="Q28" s="2" t="s">
        <v>698</v>
      </c>
    </row>
    <row r="29" spans="1:17" ht="24" x14ac:dyDescent="0.25">
      <c r="A29" s="3">
        <v>26</v>
      </c>
      <c r="B29" s="3">
        <v>2023</v>
      </c>
      <c r="C29" s="3" t="s">
        <v>32</v>
      </c>
      <c r="D29" s="3" t="s">
        <v>704</v>
      </c>
      <c r="E29" s="3" t="s">
        <v>24</v>
      </c>
      <c r="F29" s="3" t="s">
        <v>705</v>
      </c>
      <c r="G29" s="3" t="s">
        <v>705</v>
      </c>
      <c r="H29" s="3">
        <v>14.891999999999999</v>
      </c>
      <c r="I29" s="3" t="s">
        <v>691</v>
      </c>
      <c r="J29" s="3" t="s">
        <v>699</v>
      </c>
      <c r="K29" s="3">
        <v>1.1299999999999999E-2</v>
      </c>
      <c r="L29" s="3">
        <v>1.7000000000000001E-4</v>
      </c>
      <c r="M29" s="3">
        <v>0</v>
      </c>
      <c r="N29" s="3">
        <v>0</v>
      </c>
      <c r="O29" s="3">
        <v>1635.55</v>
      </c>
      <c r="P29" s="3" t="s">
        <v>676</v>
      </c>
      <c r="Q29" s="3" t="s">
        <v>518</v>
      </c>
    </row>
    <row r="30" spans="1:17" ht="24" x14ac:dyDescent="0.25">
      <c r="A30" s="2">
        <v>27</v>
      </c>
      <c r="B30" s="2">
        <v>2023</v>
      </c>
      <c r="C30" s="2" t="s">
        <v>39</v>
      </c>
      <c r="D30" s="2" t="s">
        <v>685</v>
      </c>
      <c r="E30" s="2" t="s">
        <v>54</v>
      </c>
      <c r="F30" s="2" t="s">
        <v>681</v>
      </c>
      <c r="G30" s="2" t="s">
        <v>681</v>
      </c>
      <c r="H30" s="2">
        <v>31.384</v>
      </c>
      <c r="I30" s="2" t="s">
        <v>691</v>
      </c>
      <c r="J30" s="2" t="s">
        <v>683</v>
      </c>
      <c r="K30" s="2">
        <v>7.2400000000000006E-2</v>
      </c>
      <c r="L30" s="2">
        <v>2.2699999999999999E-3</v>
      </c>
      <c r="M30" s="2">
        <v>0</v>
      </c>
      <c r="N30" s="2">
        <v>0</v>
      </c>
      <c r="O30" s="2">
        <v>3166.1</v>
      </c>
      <c r="P30" s="2" t="s">
        <v>676</v>
      </c>
      <c r="Q30" s="2" t="s">
        <v>684</v>
      </c>
    </row>
    <row r="31" spans="1:17" ht="24" x14ac:dyDescent="0.25">
      <c r="A31" s="3">
        <v>28</v>
      </c>
      <c r="B31" s="3">
        <v>2023</v>
      </c>
      <c r="C31" s="3" t="s">
        <v>46</v>
      </c>
      <c r="D31" s="3" t="s">
        <v>704</v>
      </c>
      <c r="E31" s="3" t="s">
        <v>96</v>
      </c>
      <c r="F31" s="3" t="s">
        <v>700</v>
      </c>
      <c r="G31" s="3" t="s">
        <v>700</v>
      </c>
      <c r="H31" s="3">
        <v>41.454999999999998</v>
      </c>
      <c r="I31" s="3" t="s">
        <v>687</v>
      </c>
      <c r="J31" s="3" t="s">
        <v>699</v>
      </c>
      <c r="K31" s="3">
        <v>0.47089999999999999</v>
      </c>
      <c r="L31" s="3">
        <v>1.9519999999999999E-2</v>
      </c>
      <c r="M31" s="3">
        <v>27.66</v>
      </c>
      <c r="N31" s="3">
        <v>66.7</v>
      </c>
      <c r="O31" s="3">
        <v>2204.4299999999998</v>
      </c>
      <c r="P31" s="3" t="s">
        <v>676</v>
      </c>
      <c r="Q31" s="3" t="s">
        <v>684</v>
      </c>
    </row>
    <row r="32" spans="1:17" ht="24" x14ac:dyDescent="0.25">
      <c r="A32" s="2">
        <v>29</v>
      </c>
      <c r="B32" s="2">
        <v>2023</v>
      </c>
      <c r="C32" s="2" t="s">
        <v>22</v>
      </c>
      <c r="D32" s="2" t="s">
        <v>672</v>
      </c>
      <c r="E32" s="2" t="s">
        <v>24</v>
      </c>
      <c r="F32" s="2" t="s">
        <v>705</v>
      </c>
      <c r="G32" s="2" t="s">
        <v>705</v>
      </c>
      <c r="H32" s="2">
        <v>16.652999999999999</v>
      </c>
      <c r="I32" s="2" t="s">
        <v>678</v>
      </c>
      <c r="J32" s="2" t="s">
        <v>692</v>
      </c>
      <c r="K32" s="2">
        <v>8.3999999999999995E-3</v>
      </c>
      <c r="L32" s="2">
        <v>1.3999999999999999E-4</v>
      </c>
      <c r="M32" s="2">
        <v>0.81299999999999994</v>
      </c>
      <c r="N32" s="2">
        <v>4.9000000000000004</v>
      </c>
      <c r="O32" s="2">
        <v>3981.36</v>
      </c>
      <c r="P32" s="2" t="s">
        <v>676</v>
      </c>
      <c r="Q32" s="2" t="s">
        <v>684</v>
      </c>
    </row>
    <row r="33" spans="1:17" ht="24" x14ac:dyDescent="0.25">
      <c r="A33" s="3">
        <v>30</v>
      </c>
      <c r="B33" s="3">
        <v>2023</v>
      </c>
      <c r="C33" s="3" t="s">
        <v>32</v>
      </c>
      <c r="D33" s="3" t="s">
        <v>680</v>
      </c>
      <c r="E33" s="3" t="s">
        <v>24</v>
      </c>
      <c r="F33" s="3" t="s">
        <v>686</v>
      </c>
      <c r="G33" s="3" t="s">
        <v>686</v>
      </c>
      <c r="H33" s="3">
        <v>19.463000000000001</v>
      </c>
      <c r="I33" s="3" t="s">
        <v>694</v>
      </c>
      <c r="J33" s="3" t="s">
        <v>695</v>
      </c>
      <c r="K33" s="3">
        <v>1.0036</v>
      </c>
      <c r="L33" s="3">
        <v>1.9529999999999999E-2</v>
      </c>
      <c r="M33" s="3">
        <v>7.585</v>
      </c>
      <c r="N33" s="3">
        <v>39</v>
      </c>
      <c r="O33" s="3">
        <v>133.61000000000001</v>
      </c>
      <c r="P33" s="3" t="s">
        <v>676</v>
      </c>
      <c r="Q33" s="3" t="s">
        <v>684</v>
      </c>
    </row>
    <row r="34" spans="1:17" ht="24" x14ac:dyDescent="0.25">
      <c r="A34" s="2">
        <v>31</v>
      </c>
      <c r="B34" s="2">
        <v>2023</v>
      </c>
      <c r="C34" s="2" t="s">
        <v>39</v>
      </c>
      <c r="D34" s="2" t="s">
        <v>704</v>
      </c>
      <c r="E34" s="2" t="s">
        <v>88</v>
      </c>
      <c r="F34" s="2" t="s">
        <v>696</v>
      </c>
      <c r="G34" s="2" t="s">
        <v>696</v>
      </c>
      <c r="H34" s="2">
        <v>37.822000000000003</v>
      </c>
      <c r="I34" s="2" t="s">
        <v>691</v>
      </c>
      <c r="J34" s="2" t="s">
        <v>695</v>
      </c>
      <c r="K34" s="2">
        <v>0.76500000000000001</v>
      </c>
      <c r="L34" s="2">
        <v>2.8930000000000001E-2</v>
      </c>
      <c r="M34" s="2">
        <v>0</v>
      </c>
      <c r="N34" s="2">
        <v>0</v>
      </c>
      <c r="O34" s="2">
        <v>3519.37</v>
      </c>
      <c r="P34" s="2" t="s">
        <v>676</v>
      </c>
      <c r="Q34" s="2" t="s">
        <v>684</v>
      </c>
    </row>
    <row r="35" spans="1:17" ht="24" x14ac:dyDescent="0.25">
      <c r="A35" s="3">
        <v>32</v>
      </c>
      <c r="B35" s="3">
        <v>2023</v>
      </c>
      <c r="C35" s="3" t="s">
        <v>46</v>
      </c>
      <c r="D35" s="3" t="s">
        <v>689</v>
      </c>
      <c r="E35" s="3" t="s">
        <v>33</v>
      </c>
      <c r="F35" s="3" t="s">
        <v>686</v>
      </c>
      <c r="G35" s="3" t="s">
        <v>686</v>
      </c>
      <c r="H35" s="3">
        <v>34.325000000000003</v>
      </c>
      <c r="I35" s="3" t="s">
        <v>674</v>
      </c>
      <c r="J35" s="3" t="s">
        <v>701</v>
      </c>
      <c r="K35" s="3">
        <v>0.99299999999999999</v>
      </c>
      <c r="L35" s="3">
        <v>3.4079999999999999E-2</v>
      </c>
      <c r="M35" s="3">
        <v>8.6969999999999992</v>
      </c>
      <c r="N35" s="3">
        <v>25.3</v>
      </c>
      <c r="O35" s="3">
        <v>4637.12</v>
      </c>
      <c r="P35" s="3" t="s">
        <v>676</v>
      </c>
      <c r="Q35" s="3" t="s">
        <v>698</v>
      </c>
    </row>
    <row r="36" spans="1:17" ht="24" x14ac:dyDescent="0.25">
      <c r="A36" s="2">
        <v>33</v>
      </c>
      <c r="B36" s="2">
        <v>2023</v>
      </c>
      <c r="C36" s="2" t="s">
        <v>22</v>
      </c>
      <c r="D36" s="2" t="s">
        <v>677</v>
      </c>
      <c r="E36" s="2" t="s">
        <v>154</v>
      </c>
      <c r="F36" s="2" t="s">
        <v>693</v>
      </c>
      <c r="G36" s="2" t="s">
        <v>693</v>
      </c>
      <c r="H36" s="2">
        <v>11.071</v>
      </c>
      <c r="I36" s="2" t="s">
        <v>687</v>
      </c>
      <c r="J36" s="2" t="s">
        <v>699</v>
      </c>
      <c r="K36" s="2">
        <v>4.6899999999999997E-2</v>
      </c>
      <c r="L36" s="2">
        <v>5.1999999999999995E-4</v>
      </c>
      <c r="M36" s="2">
        <v>7.9390000000000001</v>
      </c>
      <c r="N36" s="2">
        <v>71.7</v>
      </c>
      <c r="O36" s="2">
        <v>4254.8599999999997</v>
      </c>
      <c r="P36" s="2" t="s">
        <v>676</v>
      </c>
      <c r="Q36" s="2" t="s">
        <v>698</v>
      </c>
    </row>
    <row r="37" spans="1:17" ht="24" x14ac:dyDescent="0.25">
      <c r="A37" s="3">
        <v>34</v>
      </c>
      <c r="B37" s="3">
        <v>2023</v>
      </c>
      <c r="C37" s="3" t="s">
        <v>32</v>
      </c>
      <c r="D37" s="3" t="s">
        <v>704</v>
      </c>
      <c r="E37" s="3" t="s">
        <v>58</v>
      </c>
      <c r="F37" s="3" t="s">
        <v>673</v>
      </c>
      <c r="G37" s="3" t="s">
        <v>673</v>
      </c>
      <c r="H37" s="3">
        <v>27.721</v>
      </c>
      <c r="I37" s="3" t="s">
        <v>691</v>
      </c>
      <c r="J37" s="3" t="s">
        <v>692</v>
      </c>
      <c r="K37" s="3">
        <v>0.64649999999999996</v>
      </c>
      <c r="L37" s="3">
        <v>1.7919999999999998E-2</v>
      </c>
      <c r="M37" s="3">
        <v>0</v>
      </c>
      <c r="N37" s="3">
        <v>0</v>
      </c>
      <c r="O37" s="3">
        <v>660.01</v>
      </c>
      <c r="P37" s="3" t="s">
        <v>676</v>
      </c>
      <c r="Q37" s="3" t="s">
        <v>698</v>
      </c>
    </row>
    <row r="38" spans="1:17" ht="24" x14ac:dyDescent="0.25">
      <c r="A38" s="2">
        <v>35</v>
      </c>
      <c r="B38" s="2">
        <v>2023</v>
      </c>
      <c r="C38" s="2" t="s">
        <v>39</v>
      </c>
      <c r="D38" s="2" t="s">
        <v>677</v>
      </c>
      <c r="E38" s="2" t="s">
        <v>65</v>
      </c>
      <c r="F38" s="2" t="s">
        <v>681</v>
      </c>
      <c r="G38" s="2" t="s">
        <v>681</v>
      </c>
      <c r="H38" s="2">
        <v>47.353999999999999</v>
      </c>
      <c r="I38" s="2" t="s">
        <v>687</v>
      </c>
      <c r="J38" s="2" t="s">
        <v>683</v>
      </c>
      <c r="K38" s="2">
        <v>7.6200000000000004E-2</v>
      </c>
      <c r="L38" s="2">
        <v>3.6099999999999999E-3</v>
      </c>
      <c r="M38" s="2">
        <v>31.890999999999998</v>
      </c>
      <c r="N38" s="2">
        <v>67.3</v>
      </c>
      <c r="O38" s="2">
        <v>4522.55</v>
      </c>
      <c r="P38" s="2" t="s">
        <v>676</v>
      </c>
      <c r="Q38" s="2" t="s">
        <v>518</v>
      </c>
    </row>
    <row r="39" spans="1:17" ht="24" x14ac:dyDescent="0.25">
      <c r="A39" s="3">
        <v>36</v>
      </c>
      <c r="B39" s="3">
        <v>2023</v>
      </c>
      <c r="C39" s="3" t="s">
        <v>46</v>
      </c>
      <c r="D39" s="3" t="s">
        <v>685</v>
      </c>
      <c r="E39" s="3" t="s">
        <v>154</v>
      </c>
      <c r="F39" s="3" t="s">
        <v>681</v>
      </c>
      <c r="G39" s="3" t="s">
        <v>681</v>
      </c>
      <c r="H39" s="3">
        <v>8.1319999999999997</v>
      </c>
      <c r="I39" s="3" t="s">
        <v>697</v>
      </c>
      <c r="J39" s="3" t="s">
        <v>692</v>
      </c>
      <c r="K39" s="3">
        <v>7.2800000000000004E-2</v>
      </c>
      <c r="L39" s="3">
        <v>5.9000000000000003E-4</v>
      </c>
      <c r="M39" s="3">
        <v>6.109</v>
      </c>
      <c r="N39" s="3">
        <v>75.099999999999994</v>
      </c>
      <c r="O39" s="3">
        <v>1011.91</v>
      </c>
      <c r="P39" s="3" t="s">
        <v>676</v>
      </c>
      <c r="Q39" s="3" t="s">
        <v>684</v>
      </c>
    </row>
    <row r="40" spans="1:17" ht="24" x14ac:dyDescent="0.25">
      <c r="A40" s="2">
        <v>37</v>
      </c>
      <c r="B40" s="2">
        <v>2023</v>
      </c>
      <c r="C40" s="2" t="s">
        <v>22</v>
      </c>
      <c r="D40" s="2" t="s">
        <v>685</v>
      </c>
      <c r="E40" s="2" t="s">
        <v>96</v>
      </c>
      <c r="F40" s="2" t="s">
        <v>681</v>
      </c>
      <c r="G40" s="2" t="s">
        <v>681</v>
      </c>
      <c r="H40" s="2">
        <v>32.268999999999998</v>
      </c>
      <c r="I40" s="2" t="s">
        <v>694</v>
      </c>
      <c r="J40" s="2" t="s">
        <v>692</v>
      </c>
      <c r="K40" s="2">
        <v>6.6900000000000001E-2</v>
      </c>
      <c r="L40" s="2">
        <v>2.16E-3</v>
      </c>
      <c r="M40" s="2">
        <v>19.507000000000001</v>
      </c>
      <c r="N40" s="2">
        <v>60.5</v>
      </c>
      <c r="O40" s="2">
        <v>1290.9000000000001</v>
      </c>
      <c r="P40" s="2" t="s">
        <v>676</v>
      </c>
      <c r="Q40" s="2" t="s">
        <v>698</v>
      </c>
    </row>
    <row r="41" spans="1:17" ht="24" x14ac:dyDescent="0.25">
      <c r="A41" s="3">
        <v>38</v>
      </c>
      <c r="B41" s="3">
        <v>2023</v>
      </c>
      <c r="C41" s="3" t="s">
        <v>32</v>
      </c>
      <c r="D41" s="3" t="s">
        <v>685</v>
      </c>
      <c r="E41" s="3" t="s">
        <v>88</v>
      </c>
      <c r="F41" s="3" t="s">
        <v>673</v>
      </c>
      <c r="G41" s="3" t="s">
        <v>673</v>
      </c>
      <c r="H41" s="3">
        <v>6.4980000000000002</v>
      </c>
      <c r="I41" s="3" t="s">
        <v>682</v>
      </c>
      <c r="J41" s="3" t="s">
        <v>675</v>
      </c>
      <c r="K41" s="3">
        <v>0.67659999999999998</v>
      </c>
      <c r="L41" s="3">
        <v>3.2000000000000003E-4</v>
      </c>
      <c r="M41" s="3">
        <v>0.58499999999999996</v>
      </c>
      <c r="N41" s="3">
        <v>9</v>
      </c>
      <c r="O41" s="3">
        <v>3116.6</v>
      </c>
      <c r="P41" s="3" t="s">
        <v>676</v>
      </c>
      <c r="Q41" s="3" t="s">
        <v>698</v>
      </c>
    </row>
    <row r="42" spans="1:17" ht="24" x14ac:dyDescent="0.25">
      <c r="A42" s="2">
        <v>39</v>
      </c>
      <c r="B42" s="2">
        <v>2023</v>
      </c>
      <c r="C42" s="2" t="s">
        <v>39</v>
      </c>
      <c r="D42" s="2" t="s">
        <v>677</v>
      </c>
      <c r="E42" s="2" t="s">
        <v>33</v>
      </c>
      <c r="F42" s="2" t="s">
        <v>673</v>
      </c>
      <c r="G42" s="2" t="s">
        <v>673</v>
      </c>
      <c r="H42" s="2">
        <v>33.005000000000003</v>
      </c>
      <c r="I42" s="2" t="s">
        <v>687</v>
      </c>
      <c r="J42" s="2" t="s">
        <v>699</v>
      </c>
      <c r="K42" s="2">
        <v>0.68799999999999994</v>
      </c>
      <c r="L42" s="2">
        <v>2.2710000000000001E-2</v>
      </c>
      <c r="M42" s="2">
        <v>4.5270000000000001</v>
      </c>
      <c r="N42" s="2">
        <v>13.7</v>
      </c>
      <c r="O42" s="2">
        <v>2855.97</v>
      </c>
      <c r="P42" s="2" t="s">
        <v>676</v>
      </c>
      <c r="Q42" s="2" t="s">
        <v>684</v>
      </c>
    </row>
    <row r="43" spans="1:17" ht="24" x14ac:dyDescent="0.25">
      <c r="A43" s="3">
        <v>40</v>
      </c>
      <c r="B43" s="3">
        <v>2023</v>
      </c>
      <c r="C43" s="3" t="s">
        <v>46</v>
      </c>
      <c r="D43" s="3" t="s">
        <v>677</v>
      </c>
      <c r="E43" s="3" t="s">
        <v>110</v>
      </c>
      <c r="F43" s="3" t="s">
        <v>673</v>
      </c>
      <c r="G43" s="3" t="s">
        <v>673</v>
      </c>
      <c r="H43" s="3">
        <v>39.304000000000002</v>
      </c>
      <c r="I43" s="3" t="s">
        <v>697</v>
      </c>
      <c r="J43" s="3" t="s">
        <v>688</v>
      </c>
      <c r="K43" s="3">
        <v>0.69369999999999998</v>
      </c>
      <c r="L43" s="3">
        <v>2.7269999999999999E-2</v>
      </c>
      <c r="M43" s="3">
        <v>22.669</v>
      </c>
      <c r="N43" s="3">
        <v>57.7</v>
      </c>
      <c r="O43" s="3">
        <v>1419.57</v>
      </c>
      <c r="P43" s="3" t="s">
        <v>676</v>
      </c>
      <c r="Q43" s="3" t="s">
        <v>698</v>
      </c>
    </row>
    <row r="44" spans="1:17" ht="24" x14ac:dyDescent="0.25">
      <c r="A44" s="2">
        <v>41</v>
      </c>
      <c r="B44" s="2">
        <v>2023</v>
      </c>
      <c r="C44" s="2" t="s">
        <v>22</v>
      </c>
      <c r="D44" s="2" t="s">
        <v>672</v>
      </c>
      <c r="E44" s="2" t="s">
        <v>24</v>
      </c>
      <c r="F44" s="2" t="s">
        <v>705</v>
      </c>
      <c r="G44" s="2" t="s">
        <v>705</v>
      </c>
      <c r="H44" s="2">
        <v>18.001000000000001</v>
      </c>
      <c r="I44" s="2" t="s">
        <v>694</v>
      </c>
      <c r="J44" s="2" t="s">
        <v>679</v>
      </c>
      <c r="K44" s="2">
        <v>9.4999999999999998E-3</v>
      </c>
      <c r="L44" s="2">
        <v>1.7000000000000001E-4</v>
      </c>
      <c r="M44" s="2">
        <v>8.9380000000000006</v>
      </c>
      <c r="N44" s="2">
        <v>49.7</v>
      </c>
      <c r="O44" s="2">
        <v>920.06</v>
      </c>
      <c r="P44" s="2" t="s">
        <v>676</v>
      </c>
      <c r="Q44" s="2" t="s">
        <v>684</v>
      </c>
    </row>
    <row r="45" spans="1:17" ht="24" x14ac:dyDescent="0.25">
      <c r="A45" s="3">
        <v>42</v>
      </c>
      <c r="B45" s="3">
        <v>2023</v>
      </c>
      <c r="C45" s="3" t="s">
        <v>32</v>
      </c>
      <c r="D45" s="3" t="s">
        <v>704</v>
      </c>
      <c r="E45" s="3" t="s">
        <v>54</v>
      </c>
      <c r="F45" s="3" t="s">
        <v>681</v>
      </c>
      <c r="G45" s="3" t="s">
        <v>681</v>
      </c>
      <c r="H45" s="3">
        <v>13.234999999999999</v>
      </c>
      <c r="I45" s="3" t="s">
        <v>697</v>
      </c>
      <c r="J45" s="3" t="s">
        <v>695</v>
      </c>
      <c r="K45" s="3">
        <v>9.9500000000000005E-2</v>
      </c>
      <c r="L45" s="3">
        <v>1.32E-3</v>
      </c>
      <c r="M45" s="3">
        <v>0.91100000000000003</v>
      </c>
      <c r="N45" s="3">
        <v>6.9</v>
      </c>
      <c r="O45" s="3">
        <v>423.23</v>
      </c>
      <c r="P45" s="3" t="s">
        <v>676</v>
      </c>
      <c r="Q45" s="3" t="s">
        <v>518</v>
      </c>
    </row>
    <row r="46" spans="1:17" ht="24" x14ac:dyDescent="0.25">
      <c r="A46" s="2">
        <v>43</v>
      </c>
      <c r="B46" s="2">
        <v>2023</v>
      </c>
      <c r="C46" s="2" t="s">
        <v>39</v>
      </c>
      <c r="D46" s="2" t="s">
        <v>672</v>
      </c>
      <c r="E46" s="2" t="s">
        <v>117</v>
      </c>
      <c r="F46" s="2" t="s">
        <v>702</v>
      </c>
      <c r="G46" s="2" t="s">
        <v>702</v>
      </c>
      <c r="H46" s="2">
        <v>29.135999999999999</v>
      </c>
      <c r="I46" s="2" t="s">
        <v>674</v>
      </c>
      <c r="J46" s="2" t="s">
        <v>695</v>
      </c>
      <c r="K46" s="2">
        <v>0.45119999999999999</v>
      </c>
      <c r="L46" s="2">
        <v>1.315E-2</v>
      </c>
      <c r="M46" s="2">
        <v>15.472</v>
      </c>
      <c r="N46" s="2">
        <v>53.1</v>
      </c>
      <c r="O46" s="2">
        <v>4536.2</v>
      </c>
      <c r="P46" s="2" t="s">
        <v>676</v>
      </c>
      <c r="Q46" s="2" t="s">
        <v>518</v>
      </c>
    </row>
    <row r="47" spans="1:17" ht="24" x14ac:dyDescent="0.25">
      <c r="A47" s="3">
        <v>44</v>
      </c>
      <c r="B47" s="3">
        <v>2023</v>
      </c>
      <c r="C47" s="3" t="s">
        <v>46</v>
      </c>
      <c r="D47" s="3" t="s">
        <v>680</v>
      </c>
      <c r="E47" s="3" t="s">
        <v>54</v>
      </c>
      <c r="F47" s="3" t="s">
        <v>705</v>
      </c>
      <c r="G47" s="3" t="s">
        <v>705</v>
      </c>
      <c r="H47" s="3">
        <v>38.781999999999996</v>
      </c>
      <c r="I47" s="3" t="s">
        <v>678</v>
      </c>
      <c r="J47" s="3" t="s">
        <v>679</v>
      </c>
      <c r="K47" s="3">
        <v>9.7999999999999997E-3</v>
      </c>
      <c r="L47" s="3">
        <v>3.8000000000000002E-4</v>
      </c>
      <c r="M47" s="3">
        <v>7.7939999999999996</v>
      </c>
      <c r="N47" s="3">
        <v>20.100000000000001</v>
      </c>
      <c r="O47" s="3">
        <v>3872.12</v>
      </c>
      <c r="P47" s="3" t="s">
        <v>676</v>
      </c>
      <c r="Q47" s="3" t="s">
        <v>684</v>
      </c>
    </row>
    <row r="48" spans="1:17" ht="24" x14ac:dyDescent="0.25">
      <c r="A48" s="2">
        <v>45</v>
      </c>
      <c r="B48" s="2">
        <v>2023</v>
      </c>
      <c r="C48" s="2" t="s">
        <v>22</v>
      </c>
      <c r="D48" s="2" t="s">
        <v>672</v>
      </c>
      <c r="E48" s="2" t="s">
        <v>154</v>
      </c>
      <c r="F48" s="2" t="s">
        <v>705</v>
      </c>
      <c r="G48" s="2" t="s">
        <v>705</v>
      </c>
      <c r="H48" s="2">
        <v>25.57</v>
      </c>
      <c r="I48" s="2" t="s">
        <v>687</v>
      </c>
      <c r="J48" s="2" t="s">
        <v>699</v>
      </c>
      <c r="K48" s="2">
        <v>0.01</v>
      </c>
      <c r="L48" s="2">
        <v>2.5999999999999998E-4</v>
      </c>
      <c r="M48" s="2">
        <v>11.555999999999999</v>
      </c>
      <c r="N48" s="2">
        <v>45.2</v>
      </c>
      <c r="O48" s="2">
        <v>3330.26</v>
      </c>
      <c r="P48" s="2" t="s">
        <v>676</v>
      </c>
      <c r="Q48" s="2" t="s">
        <v>518</v>
      </c>
    </row>
    <row r="49" spans="1:17" ht="24" x14ac:dyDescent="0.25">
      <c r="A49" s="3">
        <v>46</v>
      </c>
      <c r="B49" s="3">
        <v>2023</v>
      </c>
      <c r="C49" s="3" t="s">
        <v>32</v>
      </c>
      <c r="D49" s="3" t="s">
        <v>685</v>
      </c>
      <c r="E49" s="3" t="s">
        <v>96</v>
      </c>
      <c r="F49" s="3" t="s">
        <v>693</v>
      </c>
      <c r="G49" s="3" t="s">
        <v>693</v>
      </c>
      <c r="H49" s="3">
        <v>8.0449999999999999</v>
      </c>
      <c r="I49" s="3" t="s">
        <v>694</v>
      </c>
      <c r="J49" s="3" t="s">
        <v>675</v>
      </c>
      <c r="K49" s="3">
        <v>4.3299999999999998E-2</v>
      </c>
      <c r="L49" s="3">
        <v>3.5E-4</v>
      </c>
      <c r="M49" s="3">
        <v>4.0970000000000004</v>
      </c>
      <c r="N49" s="3">
        <v>50.9</v>
      </c>
      <c r="O49" s="3">
        <v>4367.37</v>
      </c>
      <c r="P49" s="3" t="s">
        <v>676</v>
      </c>
      <c r="Q49" s="3" t="s">
        <v>698</v>
      </c>
    </row>
    <row r="50" spans="1:17" ht="24" x14ac:dyDescent="0.25">
      <c r="A50" s="2">
        <v>47</v>
      </c>
      <c r="B50" s="2">
        <v>2023</v>
      </c>
      <c r="C50" s="2" t="s">
        <v>39</v>
      </c>
      <c r="D50" s="2" t="s">
        <v>680</v>
      </c>
      <c r="E50" s="2" t="s">
        <v>65</v>
      </c>
      <c r="F50" s="2" t="s">
        <v>702</v>
      </c>
      <c r="G50" s="2" t="s">
        <v>702</v>
      </c>
      <c r="H50" s="2">
        <v>38.097000000000001</v>
      </c>
      <c r="I50" s="2" t="s">
        <v>697</v>
      </c>
      <c r="J50" s="2" t="s">
        <v>695</v>
      </c>
      <c r="K50" s="2">
        <v>0.41210000000000002</v>
      </c>
      <c r="L50" s="2">
        <v>1.5699999999999999E-2</v>
      </c>
      <c r="M50" s="2">
        <v>9.0640000000000001</v>
      </c>
      <c r="N50" s="2">
        <v>23.8</v>
      </c>
      <c r="O50" s="2">
        <v>1208.3900000000001</v>
      </c>
      <c r="P50" s="2" t="s">
        <v>676</v>
      </c>
      <c r="Q50" s="2" t="s">
        <v>698</v>
      </c>
    </row>
    <row r="51" spans="1:17" ht="24" x14ac:dyDescent="0.25">
      <c r="A51" s="3">
        <v>48</v>
      </c>
      <c r="B51" s="3">
        <v>2023</v>
      </c>
      <c r="C51" s="3" t="s">
        <v>46</v>
      </c>
      <c r="D51" s="3" t="s">
        <v>704</v>
      </c>
      <c r="E51" s="3" t="s">
        <v>96</v>
      </c>
      <c r="F51" s="3" t="s">
        <v>690</v>
      </c>
      <c r="G51" s="3" t="s">
        <v>690</v>
      </c>
      <c r="H51" s="3">
        <v>45.902999999999999</v>
      </c>
      <c r="I51" s="3" t="s">
        <v>694</v>
      </c>
      <c r="J51" s="3" t="s">
        <v>695</v>
      </c>
      <c r="K51" s="3">
        <v>0.31019999999999998</v>
      </c>
      <c r="L51" s="3">
        <v>1.4239999999999999E-2</v>
      </c>
      <c r="M51" s="3">
        <v>1.649</v>
      </c>
      <c r="N51" s="3">
        <v>3.6</v>
      </c>
      <c r="O51" s="3">
        <v>3260.2</v>
      </c>
      <c r="P51" s="3" t="s">
        <v>676</v>
      </c>
      <c r="Q51" s="3" t="s">
        <v>518</v>
      </c>
    </row>
    <row r="52" spans="1:17" ht="24" x14ac:dyDescent="0.25">
      <c r="A52" s="2">
        <v>49</v>
      </c>
      <c r="B52" s="2">
        <v>2023</v>
      </c>
      <c r="C52" s="2" t="s">
        <v>22</v>
      </c>
      <c r="D52" s="2" t="s">
        <v>689</v>
      </c>
      <c r="E52" s="2" t="s">
        <v>88</v>
      </c>
      <c r="F52" s="2" t="s">
        <v>686</v>
      </c>
      <c r="G52" s="2" t="s">
        <v>686</v>
      </c>
      <c r="H52" s="2">
        <v>37.121000000000002</v>
      </c>
      <c r="I52" s="2" t="s">
        <v>674</v>
      </c>
      <c r="J52" s="2" t="s">
        <v>692</v>
      </c>
      <c r="K52" s="2">
        <v>0.98040000000000005</v>
      </c>
      <c r="L52" s="2">
        <v>3.6389999999999999E-2</v>
      </c>
      <c r="M52" s="2">
        <v>19.047999999999998</v>
      </c>
      <c r="N52" s="2">
        <v>51.3</v>
      </c>
      <c r="O52" s="2">
        <v>1914.46</v>
      </c>
      <c r="P52" s="2" t="s">
        <v>676</v>
      </c>
      <c r="Q52" s="2" t="s">
        <v>518</v>
      </c>
    </row>
    <row r="53" spans="1:17" ht="24" x14ac:dyDescent="0.25">
      <c r="A53" s="3">
        <v>50</v>
      </c>
      <c r="B53" s="3">
        <v>2023</v>
      </c>
      <c r="C53" s="3" t="s">
        <v>32</v>
      </c>
      <c r="D53" s="3" t="s">
        <v>677</v>
      </c>
      <c r="E53" s="3" t="s">
        <v>204</v>
      </c>
      <c r="F53" s="3" t="s">
        <v>707</v>
      </c>
      <c r="G53" s="3" t="s">
        <v>707</v>
      </c>
      <c r="H53" s="3">
        <v>12.654</v>
      </c>
      <c r="I53" s="3" t="s">
        <v>687</v>
      </c>
      <c r="J53" s="3" t="s">
        <v>675</v>
      </c>
      <c r="K53" s="3">
        <v>1.5436000000000001</v>
      </c>
      <c r="L53" s="3">
        <v>1.9529999999999999E-2</v>
      </c>
      <c r="M53" s="3">
        <v>2.5390000000000001</v>
      </c>
      <c r="N53" s="3">
        <v>20.100000000000001</v>
      </c>
      <c r="O53" s="3">
        <v>2058.92</v>
      </c>
      <c r="P53" s="3" t="s">
        <v>676</v>
      </c>
      <c r="Q53" s="3" t="s">
        <v>518</v>
      </c>
    </row>
    <row r="54" spans="1:17" ht="24" x14ac:dyDescent="0.25">
      <c r="A54" s="2">
        <v>51</v>
      </c>
      <c r="B54" s="2">
        <v>2023</v>
      </c>
      <c r="C54" s="2" t="s">
        <v>39</v>
      </c>
      <c r="D54" s="2" t="s">
        <v>677</v>
      </c>
      <c r="E54" s="2" t="s">
        <v>65</v>
      </c>
      <c r="F54" s="2" t="s">
        <v>702</v>
      </c>
      <c r="G54" s="2" t="s">
        <v>702</v>
      </c>
      <c r="H54" s="2">
        <v>44.113999999999997</v>
      </c>
      <c r="I54" s="2" t="s">
        <v>687</v>
      </c>
      <c r="J54" s="2" t="s">
        <v>699</v>
      </c>
      <c r="K54" s="2">
        <v>0.45900000000000002</v>
      </c>
      <c r="L54" s="2">
        <v>2.0250000000000001E-2</v>
      </c>
      <c r="M54" s="2">
        <v>9.1310000000000002</v>
      </c>
      <c r="N54" s="2">
        <v>20.7</v>
      </c>
      <c r="O54" s="2">
        <v>2596.98</v>
      </c>
      <c r="P54" s="2" t="s">
        <v>676</v>
      </c>
      <c r="Q54" s="2" t="s">
        <v>684</v>
      </c>
    </row>
    <row r="55" spans="1:17" ht="24" x14ac:dyDescent="0.25">
      <c r="A55" s="3">
        <v>52</v>
      </c>
      <c r="B55" s="3">
        <v>2023</v>
      </c>
      <c r="C55" s="3" t="s">
        <v>46</v>
      </c>
      <c r="D55" s="3" t="s">
        <v>677</v>
      </c>
      <c r="E55" s="3" t="s">
        <v>96</v>
      </c>
      <c r="F55" s="3" t="s">
        <v>693</v>
      </c>
      <c r="G55" s="3" t="s">
        <v>693</v>
      </c>
      <c r="H55" s="3">
        <v>30.140999999999998</v>
      </c>
      <c r="I55" s="3" t="s">
        <v>682</v>
      </c>
      <c r="J55" s="3" t="s">
        <v>706</v>
      </c>
      <c r="K55" s="3">
        <v>4.8300000000000003E-2</v>
      </c>
      <c r="L55" s="3">
        <v>1.5100000000000001E-3</v>
      </c>
      <c r="M55" s="3">
        <v>17.934000000000001</v>
      </c>
      <c r="N55" s="3">
        <v>59.5</v>
      </c>
      <c r="O55" s="3">
        <v>2102.34</v>
      </c>
      <c r="P55" s="3" t="s">
        <v>676</v>
      </c>
      <c r="Q55" s="3" t="s">
        <v>698</v>
      </c>
    </row>
    <row r="56" spans="1:17" ht="24" x14ac:dyDescent="0.25">
      <c r="A56" s="2">
        <v>53</v>
      </c>
      <c r="B56" s="2">
        <v>2023</v>
      </c>
      <c r="C56" s="2" t="s">
        <v>22</v>
      </c>
      <c r="D56" s="2" t="s">
        <v>704</v>
      </c>
      <c r="E56" s="2" t="s">
        <v>110</v>
      </c>
      <c r="F56" s="2" t="s">
        <v>705</v>
      </c>
      <c r="G56" s="2" t="s">
        <v>705</v>
      </c>
      <c r="H56" s="2">
        <v>10.614000000000001</v>
      </c>
      <c r="I56" s="2" t="s">
        <v>694</v>
      </c>
      <c r="J56" s="2" t="s">
        <v>692</v>
      </c>
      <c r="K56" s="2">
        <v>8.8000000000000005E-3</v>
      </c>
      <c r="L56" s="2">
        <v>9.0000000000000006E-5</v>
      </c>
      <c r="M56" s="2">
        <v>7.9610000000000003</v>
      </c>
      <c r="N56" s="2">
        <v>75</v>
      </c>
      <c r="O56" s="2">
        <v>161.11000000000001</v>
      </c>
      <c r="P56" s="2" t="s">
        <v>676</v>
      </c>
      <c r="Q56" s="2" t="s">
        <v>518</v>
      </c>
    </row>
    <row r="57" spans="1:17" ht="24" x14ac:dyDescent="0.25">
      <c r="A57" s="3">
        <v>54</v>
      </c>
      <c r="B57" s="3">
        <v>2023</v>
      </c>
      <c r="C57" s="3" t="s">
        <v>32</v>
      </c>
      <c r="D57" s="3" t="s">
        <v>677</v>
      </c>
      <c r="E57" s="3" t="s">
        <v>70</v>
      </c>
      <c r="F57" s="3" t="s">
        <v>693</v>
      </c>
      <c r="G57" s="3" t="s">
        <v>693</v>
      </c>
      <c r="H57" s="3">
        <v>31.513999999999999</v>
      </c>
      <c r="I57" s="3" t="s">
        <v>697</v>
      </c>
      <c r="J57" s="3" t="s">
        <v>699</v>
      </c>
      <c r="K57" s="3">
        <v>3.2800000000000003E-2</v>
      </c>
      <c r="L57" s="3">
        <v>1.0300000000000001E-3</v>
      </c>
      <c r="M57" s="3">
        <v>16.231000000000002</v>
      </c>
      <c r="N57" s="3">
        <v>51.5</v>
      </c>
      <c r="O57" s="3">
        <v>326.76</v>
      </c>
      <c r="P57" s="3" t="s">
        <v>676</v>
      </c>
      <c r="Q57" s="3" t="s">
        <v>518</v>
      </c>
    </row>
    <row r="58" spans="1:17" ht="24" x14ac:dyDescent="0.25">
      <c r="A58" s="2">
        <v>55</v>
      </c>
      <c r="B58" s="2">
        <v>2023</v>
      </c>
      <c r="C58" s="2" t="s">
        <v>39</v>
      </c>
      <c r="D58" s="2" t="s">
        <v>677</v>
      </c>
      <c r="E58" s="2" t="s">
        <v>24</v>
      </c>
      <c r="F58" s="2" t="s">
        <v>690</v>
      </c>
      <c r="G58" s="2" t="s">
        <v>690</v>
      </c>
      <c r="H58" s="2">
        <v>48.465000000000003</v>
      </c>
      <c r="I58" s="2" t="s">
        <v>687</v>
      </c>
      <c r="J58" s="2" t="s">
        <v>703</v>
      </c>
      <c r="K58" s="2">
        <v>0.2797</v>
      </c>
      <c r="L58" s="2">
        <v>1.3559999999999999E-2</v>
      </c>
      <c r="M58" s="2">
        <v>38.319000000000003</v>
      </c>
      <c r="N58" s="2">
        <v>79.099999999999994</v>
      </c>
      <c r="O58" s="2">
        <v>3653.47</v>
      </c>
      <c r="P58" s="2" t="s">
        <v>676</v>
      </c>
      <c r="Q58" s="2" t="s">
        <v>698</v>
      </c>
    </row>
    <row r="59" spans="1:17" ht="24" x14ac:dyDescent="0.25">
      <c r="A59" s="3">
        <v>56</v>
      </c>
      <c r="B59" s="3">
        <v>2023</v>
      </c>
      <c r="C59" s="3" t="s">
        <v>46</v>
      </c>
      <c r="D59" s="3" t="s">
        <v>672</v>
      </c>
      <c r="E59" s="3" t="s">
        <v>54</v>
      </c>
      <c r="F59" s="3" t="s">
        <v>696</v>
      </c>
      <c r="G59" s="3" t="s">
        <v>696</v>
      </c>
      <c r="H59" s="3">
        <v>43.378</v>
      </c>
      <c r="I59" s="3" t="s">
        <v>694</v>
      </c>
      <c r="J59" s="3" t="s">
        <v>699</v>
      </c>
      <c r="K59" s="3">
        <v>0.61970000000000003</v>
      </c>
      <c r="L59" s="3">
        <v>2.6880000000000001E-2</v>
      </c>
      <c r="M59" s="3">
        <v>32.417999999999999</v>
      </c>
      <c r="N59" s="3">
        <v>74.7</v>
      </c>
      <c r="O59" s="3">
        <v>3024.15</v>
      </c>
      <c r="P59" s="3" t="s">
        <v>676</v>
      </c>
      <c r="Q59" s="3" t="s">
        <v>518</v>
      </c>
    </row>
    <row r="60" spans="1:17" ht="24" x14ac:dyDescent="0.25">
      <c r="A60" s="2">
        <v>57</v>
      </c>
      <c r="B60" s="2">
        <v>2023</v>
      </c>
      <c r="C60" s="2" t="s">
        <v>22</v>
      </c>
      <c r="D60" s="2" t="s">
        <v>704</v>
      </c>
      <c r="E60" s="2" t="s">
        <v>65</v>
      </c>
      <c r="F60" s="2" t="s">
        <v>681</v>
      </c>
      <c r="G60" s="2" t="s">
        <v>681</v>
      </c>
      <c r="H60" s="2">
        <v>8.4689999999999994</v>
      </c>
      <c r="I60" s="2" t="s">
        <v>682</v>
      </c>
      <c r="J60" s="2" t="s">
        <v>683</v>
      </c>
      <c r="K60" s="2">
        <v>9.1399999999999995E-2</v>
      </c>
      <c r="L60" s="2">
        <v>4.2000000000000002E-4</v>
      </c>
      <c r="M60" s="2">
        <v>7.03</v>
      </c>
      <c r="N60" s="2">
        <v>83</v>
      </c>
      <c r="O60" s="2">
        <v>3002.84</v>
      </c>
      <c r="P60" s="2" t="s">
        <v>676</v>
      </c>
      <c r="Q60" s="2" t="s">
        <v>698</v>
      </c>
    </row>
    <row r="61" spans="1:17" ht="24" x14ac:dyDescent="0.25">
      <c r="A61" s="3">
        <v>58</v>
      </c>
      <c r="B61" s="3">
        <v>2023</v>
      </c>
      <c r="C61" s="3" t="s">
        <v>32</v>
      </c>
      <c r="D61" s="3" t="s">
        <v>680</v>
      </c>
      <c r="E61" s="3" t="s">
        <v>33</v>
      </c>
      <c r="F61" s="3" t="s">
        <v>693</v>
      </c>
      <c r="G61" s="3" t="s">
        <v>693</v>
      </c>
      <c r="H61" s="3">
        <v>0.92600000000000005</v>
      </c>
      <c r="I61" s="3" t="s">
        <v>691</v>
      </c>
      <c r="J61" s="3" t="s">
        <v>699</v>
      </c>
      <c r="K61" s="3">
        <v>4.2500000000000003E-2</v>
      </c>
      <c r="L61" s="3">
        <v>4.0000000000000003E-5</v>
      </c>
      <c r="M61" s="3">
        <v>0</v>
      </c>
      <c r="N61" s="3">
        <v>0</v>
      </c>
      <c r="O61" s="3">
        <v>4551.2299999999996</v>
      </c>
      <c r="P61" s="3" t="s">
        <v>676</v>
      </c>
      <c r="Q61" s="3" t="s">
        <v>518</v>
      </c>
    </row>
    <row r="62" spans="1:17" ht="24" x14ac:dyDescent="0.25">
      <c r="A62" s="2">
        <v>59</v>
      </c>
      <c r="B62" s="2">
        <v>2023</v>
      </c>
      <c r="C62" s="2" t="s">
        <v>39</v>
      </c>
      <c r="D62" s="2" t="s">
        <v>672</v>
      </c>
      <c r="E62" s="2" t="s">
        <v>92</v>
      </c>
      <c r="F62" s="2" t="s">
        <v>707</v>
      </c>
      <c r="G62" s="2" t="s">
        <v>707</v>
      </c>
      <c r="H62" s="2">
        <v>23.846</v>
      </c>
      <c r="I62" s="2" t="s">
        <v>697</v>
      </c>
      <c r="J62" s="2" t="s">
        <v>706</v>
      </c>
      <c r="K62" s="2">
        <v>1.3288</v>
      </c>
      <c r="L62" s="2">
        <v>3.1690000000000003E-2</v>
      </c>
      <c r="M62" s="2">
        <v>0.83799999999999997</v>
      </c>
      <c r="N62" s="2">
        <v>3.5</v>
      </c>
      <c r="O62" s="2">
        <v>3930.15</v>
      </c>
      <c r="P62" s="2" t="s">
        <v>676</v>
      </c>
      <c r="Q62" s="2" t="s">
        <v>684</v>
      </c>
    </row>
    <row r="63" spans="1:17" ht="24" x14ac:dyDescent="0.25">
      <c r="A63" s="3">
        <v>60</v>
      </c>
      <c r="B63" s="3">
        <v>2023</v>
      </c>
      <c r="C63" s="3" t="s">
        <v>46</v>
      </c>
      <c r="D63" s="3" t="s">
        <v>680</v>
      </c>
      <c r="E63" s="3" t="s">
        <v>154</v>
      </c>
      <c r="F63" s="3" t="s">
        <v>705</v>
      </c>
      <c r="G63" s="3" t="s">
        <v>705</v>
      </c>
      <c r="H63" s="3">
        <v>6.6029999999999998</v>
      </c>
      <c r="I63" s="3" t="s">
        <v>678</v>
      </c>
      <c r="J63" s="3" t="s">
        <v>683</v>
      </c>
      <c r="K63" s="3">
        <v>1.0999999999999999E-2</v>
      </c>
      <c r="L63" s="3">
        <v>6.9999999999999994E-5</v>
      </c>
      <c r="M63" s="3">
        <v>4.9180000000000001</v>
      </c>
      <c r="N63" s="3">
        <v>74.5</v>
      </c>
      <c r="O63" s="3">
        <v>4490</v>
      </c>
      <c r="P63" s="3" t="s">
        <v>676</v>
      </c>
      <c r="Q63" s="3" t="s">
        <v>518</v>
      </c>
    </row>
    <row r="64" spans="1:17" ht="24" x14ac:dyDescent="0.25">
      <c r="A64" s="2">
        <v>61</v>
      </c>
      <c r="B64" s="2">
        <v>2023</v>
      </c>
      <c r="C64" s="2" t="s">
        <v>22</v>
      </c>
      <c r="D64" s="2" t="s">
        <v>689</v>
      </c>
      <c r="E64" s="2" t="s">
        <v>92</v>
      </c>
      <c r="F64" s="2" t="s">
        <v>690</v>
      </c>
      <c r="G64" s="2" t="s">
        <v>690</v>
      </c>
      <c r="H64" s="2">
        <v>43.753999999999998</v>
      </c>
      <c r="I64" s="2" t="s">
        <v>682</v>
      </c>
      <c r="J64" s="2" t="s">
        <v>683</v>
      </c>
      <c r="K64" s="2">
        <v>0.28720000000000001</v>
      </c>
      <c r="L64" s="2">
        <v>2.1900000000000001E-3</v>
      </c>
      <c r="M64" s="2">
        <v>16.891999999999999</v>
      </c>
      <c r="N64" s="2">
        <v>38.6</v>
      </c>
      <c r="O64" s="2">
        <v>4695.1899999999996</v>
      </c>
      <c r="P64" s="2" t="s">
        <v>676</v>
      </c>
      <c r="Q64" s="2" t="s">
        <v>698</v>
      </c>
    </row>
    <row r="65" spans="1:17" ht="24" x14ac:dyDescent="0.25">
      <c r="A65" s="3">
        <v>62</v>
      </c>
      <c r="B65" s="3">
        <v>2023</v>
      </c>
      <c r="C65" s="3" t="s">
        <v>32</v>
      </c>
      <c r="D65" s="3" t="s">
        <v>685</v>
      </c>
      <c r="E65" s="3" t="s">
        <v>117</v>
      </c>
      <c r="F65" s="3" t="s">
        <v>696</v>
      </c>
      <c r="G65" s="3" t="s">
        <v>696</v>
      </c>
      <c r="H65" s="3">
        <v>37.095999999999997</v>
      </c>
      <c r="I65" s="3" t="s">
        <v>674</v>
      </c>
      <c r="J65" s="3" t="s">
        <v>675</v>
      </c>
      <c r="K65" s="3">
        <v>0.82650000000000001</v>
      </c>
      <c r="L65" s="3">
        <v>3.066E-2</v>
      </c>
      <c r="M65" s="3">
        <v>23.260999999999999</v>
      </c>
      <c r="N65" s="3">
        <v>62.7</v>
      </c>
      <c r="O65" s="3">
        <v>533.70000000000005</v>
      </c>
      <c r="P65" s="3" t="s">
        <v>676</v>
      </c>
      <c r="Q65" s="3" t="s">
        <v>684</v>
      </c>
    </row>
    <row r="66" spans="1:17" ht="24" x14ac:dyDescent="0.25">
      <c r="A66" s="2">
        <v>63</v>
      </c>
      <c r="B66" s="2">
        <v>2023</v>
      </c>
      <c r="C66" s="2" t="s">
        <v>39</v>
      </c>
      <c r="D66" s="2" t="s">
        <v>680</v>
      </c>
      <c r="E66" s="2" t="s">
        <v>92</v>
      </c>
      <c r="F66" s="2" t="s">
        <v>707</v>
      </c>
      <c r="G66" s="2" t="s">
        <v>707</v>
      </c>
      <c r="H66" s="2">
        <v>29.954999999999998</v>
      </c>
      <c r="I66" s="2" t="s">
        <v>682</v>
      </c>
      <c r="J66" s="2" t="s">
        <v>701</v>
      </c>
      <c r="K66" s="2">
        <v>1.2862</v>
      </c>
      <c r="L66" s="2">
        <v>1.5E-3</v>
      </c>
      <c r="M66" s="2">
        <v>6.95</v>
      </c>
      <c r="N66" s="2">
        <v>23.2</v>
      </c>
      <c r="O66" s="2">
        <v>77.069999999999993</v>
      </c>
      <c r="P66" s="2" t="s">
        <v>676</v>
      </c>
      <c r="Q66" s="2" t="s">
        <v>518</v>
      </c>
    </row>
    <row r="67" spans="1:17" ht="24" x14ac:dyDescent="0.25">
      <c r="A67" s="3">
        <v>64</v>
      </c>
      <c r="B67" s="3">
        <v>2023</v>
      </c>
      <c r="C67" s="3" t="s">
        <v>46</v>
      </c>
      <c r="D67" s="3" t="s">
        <v>677</v>
      </c>
      <c r="E67" s="3" t="s">
        <v>33</v>
      </c>
      <c r="F67" s="3" t="s">
        <v>681</v>
      </c>
      <c r="G67" s="3" t="s">
        <v>681</v>
      </c>
      <c r="H67" s="3">
        <v>26.036000000000001</v>
      </c>
      <c r="I67" s="3" t="s">
        <v>691</v>
      </c>
      <c r="J67" s="3" t="s">
        <v>688</v>
      </c>
      <c r="K67" s="3">
        <v>7.9000000000000001E-2</v>
      </c>
      <c r="L67" s="3">
        <v>2.0600000000000002E-3</v>
      </c>
      <c r="M67" s="3">
        <v>0</v>
      </c>
      <c r="N67" s="3">
        <v>0</v>
      </c>
      <c r="O67" s="3">
        <v>1066.82</v>
      </c>
      <c r="P67" s="3" t="s">
        <v>676</v>
      </c>
      <c r="Q67" s="3" t="s">
        <v>684</v>
      </c>
    </row>
    <row r="68" spans="1:17" ht="24" x14ac:dyDescent="0.25">
      <c r="A68" s="2">
        <v>65</v>
      </c>
      <c r="B68" s="2">
        <v>2023</v>
      </c>
      <c r="C68" s="2" t="s">
        <v>22</v>
      </c>
      <c r="D68" s="2" t="s">
        <v>677</v>
      </c>
      <c r="E68" s="2" t="s">
        <v>58</v>
      </c>
      <c r="F68" s="2" t="s">
        <v>693</v>
      </c>
      <c r="G68" s="2" t="s">
        <v>693</v>
      </c>
      <c r="H68" s="2">
        <v>32.613999999999997</v>
      </c>
      <c r="I68" s="2" t="s">
        <v>694</v>
      </c>
      <c r="J68" s="2" t="s">
        <v>679</v>
      </c>
      <c r="K68" s="2">
        <v>3.7100000000000001E-2</v>
      </c>
      <c r="L68" s="2">
        <v>1.2099999999999999E-3</v>
      </c>
      <c r="M68" s="2">
        <v>25.096</v>
      </c>
      <c r="N68" s="2">
        <v>76.900000000000006</v>
      </c>
      <c r="O68" s="2">
        <v>2146.63</v>
      </c>
      <c r="P68" s="2" t="s">
        <v>676</v>
      </c>
      <c r="Q68" s="2" t="s">
        <v>518</v>
      </c>
    </row>
    <row r="69" spans="1:17" ht="24" x14ac:dyDescent="0.25">
      <c r="A69" s="3">
        <v>66</v>
      </c>
      <c r="B69" s="3">
        <v>2023</v>
      </c>
      <c r="C69" s="3" t="s">
        <v>32</v>
      </c>
      <c r="D69" s="3" t="s">
        <v>672</v>
      </c>
      <c r="E69" s="3" t="s">
        <v>139</v>
      </c>
      <c r="F69" s="3" t="s">
        <v>690</v>
      </c>
      <c r="G69" s="3" t="s">
        <v>690</v>
      </c>
      <c r="H69" s="3">
        <v>10.263999999999999</v>
      </c>
      <c r="I69" s="3" t="s">
        <v>674</v>
      </c>
      <c r="J69" s="3" t="s">
        <v>675</v>
      </c>
      <c r="K69" s="3">
        <v>0.26900000000000002</v>
      </c>
      <c r="L69" s="3">
        <v>2.7599999999999999E-3</v>
      </c>
      <c r="M69" s="3">
        <v>5.1509999999999998</v>
      </c>
      <c r="N69" s="3">
        <v>50.2</v>
      </c>
      <c r="O69" s="3">
        <v>934.66</v>
      </c>
      <c r="P69" s="3" t="s">
        <v>676</v>
      </c>
      <c r="Q69" s="3" t="s">
        <v>698</v>
      </c>
    </row>
    <row r="70" spans="1:17" ht="24" x14ac:dyDescent="0.25">
      <c r="A70" s="2">
        <v>67</v>
      </c>
      <c r="B70" s="2">
        <v>2023</v>
      </c>
      <c r="C70" s="2" t="s">
        <v>39</v>
      </c>
      <c r="D70" s="2" t="s">
        <v>680</v>
      </c>
      <c r="E70" s="2" t="s">
        <v>24</v>
      </c>
      <c r="F70" s="2" t="s">
        <v>686</v>
      </c>
      <c r="G70" s="2" t="s">
        <v>686</v>
      </c>
      <c r="H70" s="2">
        <v>17.283000000000001</v>
      </c>
      <c r="I70" s="2" t="s">
        <v>687</v>
      </c>
      <c r="J70" s="2" t="s">
        <v>703</v>
      </c>
      <c r="K70" s="2">
        <v>1.0375000000000001</v>
      </c>
      <c r="L70" s="2">
        <v>1.7930000000000001E-2</v>
      </c>
      <c r="M70" s="2">
        <v>11.445</v>
      </c>
      <c r="N70" s="2">
        <v>66.2</v>
      </c>
      <c r="O70" s="2">
        <v>4282.24</v>
      </c>
      <c r="P70" s="2" t="s">
        <v>676</v>
      </c>
      <c r="Q70" s="2" t="s">
        <v>698</v>
      </c>
    </row>
    <row r="71" spans="1:17" ht="24" x14ac:dyDescent="0.25">
      <c r="A71" s="3">
        <v>68</v>
      </c>
      <c r="B71" s="3">
        <v>2023</v>
      </c>
      <c r="C71" s="3" t="s">
        <v>46</v>
      </c>
      <c r="D71" s="3" t="s">
        <v>672</v>
      </c>
      <c r="E71" s="3" t="s">
        <v>58</v>
      </c>
      <c r="F71" s="3" t="s">
        <v>693</v>
      </c>
      <c r="G71" s="3" t="s">
        <v>693</v>
      </c>
      <c r="H71" s="3">
        <v>10.801</v>
      </c>
      <c r="I71" s="3" t="s">
        <v>691</v>
      </c>
      <c r="J71" s="3" t="s">
        <v>701</v>
      </c>
      <c r="K71" s="3">
        <v>0.04</v>
      </c>
      <c r="L71" s="3">
        <v>4.2999999999999999E-4</v>
      </c>
      <c r="M71" s="3">
        <v>0</v>
      </c>
      <c r="N71" s="3">
        <v>0</v>
      </c>
      <c r="O71" s="3">
        <v>1725.27</v>
      </c>
      <c r="P71" s="3" t="s">
        <v>676</v>
      </c>
      <c r="Q71" s="3" t="s">
        <v>684</v>
      </c>
    </row>
    <row r="72" spans="1:17" ht="24" x14ac:dyDescent="0.25">
      <c r="A72" s="2">
        <v>69</v>
      </c>
      <c r="B72" s="2">
        <v>2023</v>
      </c>
      <c r="C72" s="2" t="s">
        <v>22</v>
      </c>
      <c r="D72" s="2" t="s">
        <v>689</v>
      </c>
      <c r="E72" s="2" t="s">
        <v>24</v>
      </c>
      <c r="F72" s="2" t="s">
        <v>690</v>
      </c>
      <c r="G72" s="2" t="s">
        <v>690</v>
      </c>
      <c r="H72" s="2">
        <v>0.36399999999999999</v>
      </c>
      <c r="I72" s="2" t="s">
        <v>678</v>
      </c>
      <c r="J72" s="2" t="s">
        <v>706</v>
      </c>
      <c r="K72" s="2">
        <v>0.2114</v>
      </c>
      <c r="L72" s="2">
        <v>8.0000000000000007E-5</v>
      </c>
      <c r="M72" s="2">
        <v>4.8000000000000001E-2</v>
      </c>
      <c r="N72" s="2">
        <v>13.2</v>
      </c>
      <c r="O72" s="2">
        <v>4633.0200000000004</v>
      </c>
      <c r="P72" s="2" t="s">
        <v>676</v>
      </c>
      <c r="Q72" s="2" t="s">
        <v>698</v>
      </c>
    </row>
    <row r="73" spans="1:17" ht="24" x14ac:dyDescent="0.25">
      <c r="A73" s="3">
        <v>70</v>
      </c>
      <c r="B73" s="3">
        <v>2023</v>
      </c>
      <c r="C73" s="3" t="s">
        <v>32</v>
      </c>
      <c r="D73" s="3" t="s">
        <v>672</v>
      </c>
      <c r="E73" s="3" t="s">
        <v>154</v>
      </c>
      <c r="F73" s="3" t="s">
        <v>700</v>
      </c>
      <c r="G73" s="3" t="s">
        <v>700</v>
      </c>
      <c r="H73" s="3">
        <v>4.0940000000000003</v>
      </c>
      <c r="I73" s="3" t="s">
        <v>682</v>
      </c>
      <c r="J73" s="3" t="s">
        <v>695</v>
      </c>
      <c r="K73" s="3">
        <v>0.31119999999999998</v>
      </c>
      <c r="L73" s="3">
        <v>2.0000000000000001E-4</v>
      </c>
      <c r="M73" s="3">
        <v>1.4159999999999999</v>
      </c>
      <c r="N73" s="3">
        <v>34.6</v>
      </c>
      <c r="O73" s="3">
        <v>4923.0200000000004</v>
      </c>
      <c r="P73" s="3" t="s">
        <v>676</v>
      </c>
      <c r="Q73" s="3" t="s">
        <v>698</v>
      </c>
    </row>
    <row r="74" spans="1:17" ht="24" x14ac:dyDescent="0.25">
      <c r="A74" s="2">
        <v>71</v>
      </c>
      <c r="B74" s="2">
        <v>2023</v>
      </c>
      <c r="C74" s="2" t="s">
        <v>39</v>
      </c>
      <c r="D74" s="2" t="s">
        <v>689</v>
      </c>
      <c r="E74" s="2" t="s">
        <v>120</v>
      </c>
      <c r="F74" s="2" t="s">
        <v>696</v>
      </c>
      <c r="G74" s="2" t="s">
        <v>696</v>
      </c>
      <c r="H74" s="2">
        <v>47.290999999999997</v>
      </c>
      <c r="I74" s="2" t="s">
        <v>691</v>
      </c>
      <c r="J74" s="2" t="s">
        <v>703</v>
      </c>
      <c r="K74" s="2">
        <v>0.84709999999999996</v>
      </c>
      <c r="L74" s="2">
        <v>4.0059999999999998E-2</v>
      </c>
      <c r="M74" s="2">
        <v>0</v>
      </c>
      <c r="N74" s="2">
        <v>0</v>
      </c>
      <c r="O74" s="2">
        <v>3219.44</v>
      </c>
      <c r="P74" s="2" t="s">
        <v>676</v>
      </c>
      <c r="Q74" s="2" t="s">
        <v>518</v>
      </c>
    </row>
    <row r="75" spans="1:17" ht="24" x14ac:dyDescent="0.25">
      <c r="A75" s="3">
        <v>72</v>
      </c>
      <c r="B75" s="3">
        <v>2023</v>
      </c>
      <c r="C75" s="3" t="s">
        <v>46</v>
      </c>
      <c r="D75" s="3" t="s">
        <v>672</v>
      </c>
      <c r="E75" s="3" t="s">
        <v>110</v>
      </c>
      <c r="F75" s="3" t="s">
        <v>681</v>
      </c>
      <c r="G75" s="3" t="s">
        <v>681</v>
      </c>
      <c r="H75" s="3">
        <v>9.8179999999999996</v>
      </c>
      <c r="I75" s="3" t="s">
        <v>682</v>
      </c>
      <c r="J75" s="3" t="s">
        <v>701</v>
      </c>
      <c r="K75" s="3">
        <v>9.5399999999999999E-2</v>
      </c>
      <c r="L75" s="3">
        <v>4.8999999999999998E-4</v>
      </c>
      <c r="M75" s="3">
        <v>4.5110000000000001</v>
      </c>
      <c r="N75" s="3">
        <v>45.9</v>
      </c>
      <c r="O75" s="3">
        <v>3507.33</v>
      </c>
      <c r="P75" s="3" t="s">
        <v>676</v>
      </c>
      <c r="Q75" s="3" t="s">
        <v>698</v>
      </c>
    </row>
    <row r="76" spans="1:17" ht="24" x14ac:dyDescent="0.25">
      <c r="A76" s="2">
        <v>73</v>
      </c>
      <c r="B76" s="2">
        <v>2023</v>
      </c>
      <c r="C76" s="2" t="s">
        <v>22</v>
      </c>
      <c r="D76" s="2" t="s">
        <v>677</v>
      </c>
      <c r="E76" s="2" t="s">
        <v>154</v>
      </c>
      <c r="F76" s="2" t="s">
        <v>700</v>
      </c>
      <c r="G76" s="2" t="s">
        <v>700</v>
      </c>
      <c r="H76" s="2">
        <v>0.114</v>
      </c>
      <c r="I76" s="2" t="s">
        <v>678</v>
      </c>
      <c r="J76" s="2" t="s">
        <v>683</v>
      </c>
      <c r="K76" s="2">
        <v>0.33389999999999997</v>
      </c>
      <c r="L76" s="2">
        <v>4.0000000000000003E-5</v>
      </c>
      <c r="M76" s="2">
        <v>0.10199999999999999</v>
      </c>
      <c r="N76" s="2">
        <v>89.5</v>
      </c>
      <c r="O76" s="2">
        <v>3909.38</v>
      </c>
      <c r="P76" s="2" t="s">
        <v>676</v>
      </c>
      <c r="Q76" s="2" t="s">
        <v>698</v>
      </c>
    </row>
    <row r="77" spans="1:17" ht="24" x14ac:dyDescent="0.25">
      <c r="A77" s="3">
        <v>74</v>
      </c>
      <c r="B77" s="3">
        <v>2023</v>
      </c>
      <c r="C77" s="3" t="s">
        <v>32</v>
      </c>
      <c r="D77" s="3" t="s">
        <v>677</v>
      </c>
      <c r="E77" s="3" t="s">
        <v>96</v>
      </c>
      <c r="F77" s="3" t="s">
        <v>696</v>
      </c>
      <c r="G77" s="3" t="s">
        <v>696</v>
      </c>
      <c r="H77" s="3">
        <v>25.934999999999999</v>
      </c>
      <c r="I77" s="3" t="s">
        <v>697</v>
      </c>
      <c r="J77" s="3" t="s">
        <v>695</v>
      </c>
      <c r="K77" s="3">
        <v>0.81789999999999996</v>
      </c>
      <c r="L77" s="3">
        <v>2.121E-2</v>
      </c>
      <c r="M77" s="3">
        <v>1.6020000000000001</v>
      </c>
      <c r="N77" s="3">
        <v>6.2</v>
      </c>
      <c r="O77" s="3">
        <v>496.32</v>
      </c>
      <c r="P77" s="3" t="s">
        <v>676</v>
      </c>
      <c r="Q77" s="3" t="s">
        <v>518</v>
      </c>
    </row>
    <row r="78" spans="1:17" ht="24" x14ac:dyDescent="0.25">
      <c r="A78" s="2">
        <v>75</v>
      </c>
      <c r="B78" s="2">
        <v>2023</v>
      </c>
      <c r="C78" s="2" t="s">
        <v>39</v>
      </c>
      <c r="D78" s="2" t="s">
        <v>689</v>
      </c>
      <c r="E78" s="2" t="s">
        <v>58</v>
      </c>
      <c r="F78" s="2" t="s">
        <v>673</v>
      </c>
      <c r="G78" s="2" t="s">
        <v>673</v>
      </c>
      <c r="H78" s="2">
        <v>48.167999999999999</v>
      </c>
      <c r="I78" s="2" t="s">
        <v>682</v>
      </c>
      <c r="J78" s="2" t="s">
        <v>701</v>
      </c>
      <c r="K78" s="2">
        <v>0.56299999999999994</v>
      </c>
      <c r="L78" s="2">
        <v>2.4099999999999998E-3</v>
      </c>
      <c r="M78" s="2">
        <v>26.286999999999999</v>
      </c>
      <c r="N78" s="2">
        <v>54.6</v>
      </c>
      <c r="O78" s="2">
        <v>1012.9</v>
      </c>
      <c r="P78" s="2" t="s">
        <v>676</v>
      </c>
      <c r="Q78" s="2" t="s">
        <v>698</v>
      </c>
    </row>
    <row r="79" spans="1:17" ht="24" x14ac:dyDescent="0.25">
      <c r="A79" s="3">
        <v>76</v>
      </c>
      <c r="B79" s="3">
        <v>2023</v>
      </c>
      <c r="C79" s="3" t="s">
        <v>46</v>
      </c>
      <c r="D79" s="3" t="s">
        <v>704</v>
      </c>
      <c r="E79" s="3" t="s">
        <v>92</v>
      </c>
      <c r="F79" s="3" t="s">
        <v>693</v>
      </c>
      <c r="G79" s="3" t="s">
        <v>693</v>
      </c>
      <c r="H79" s="3">
        <v>25.361000000000001</v>
      </c>
      <c r="I79" s="3" t="s">
        <v>694</v>
      </c>
      <c r="J79" s="3" t="s">
        <v>695</v>
      </c>
      <c r="K79" s="3">
        <v>4.3200000000000002E-2</v>
      </c>
      <c r="L79" s="3">
        <v>1.1000000000000001E-3</v>
      </c>
      <c r="M79" s="3">
        <v>11.484999999999999</v>
      </c>
      <c r="N79" s="3">
        <v>45.3</v>
      </c>
      <c r="O79" s="3">
        <v>1732.83</v>
      </c>
      <c r="P79" s="3" t="s">
        <v>676</v>
      </c>
      <c r="Q79" s="3" t="s">
        <v>698</v>
      </c>
    </row>
    <row r="80" spans="1:17" ht="24" x14ac:dyDescent="0.25">
      <c r="A80" s="2">
        <v>77</v>
      </c>
      <c r="B80" s="2">
        <v>2023</v>
      </c>
      <c r="C80" s="2" t="s">
        <v>22</v>
      </c>
      <c r="D80" s="2" t="s">
        <v>689</v>
      </c>
      <c r="E80" s="2" t="s">
        <v>92</v>
      </c>
      <c r="F80" s="2" t="s">
        <v>681</v>
      </c>
      <c r="G80" s="2" t="s">
        <v>681</v>
      </c>
      <c r="H80" s="2">
        <v>39.69</v>
      </c>
      <c r="I80" s="2" t="s">
        <v>674</v>
      </c>
      <c r="J80" s="2" t="s">
        <v>703</v>
      </c>
      <c r="K80" s="2">
        <v>7.3999999999999996E-2</v>
      </c>
      <c r="L80" s="2">
        <v>2.9399999999999999E-3</v>
      </c>
      <c r="M80" s="2">
        <v>15.816000000000001</v>
      </c>
      <c r="N80" s="2">
        <v>39.799999999999997</v>
      </c>
      <c r="O80" s="2">
        <v>1916.55</v>
      </c>
      <c r="P80" s="2" t="s">
        <v>676</v>
      </c>
      <c r="Q80" s="2" t="s">
        <v>698</v>
      </c>
    </row>
    <row r="81" spans="1:17" ht="24" x14ac:dyDescent="0.25">
      <c r="A81" s="3">
        <v>78</v>
      </c>
      <c r="B81" s="3">
        <v>2023</v>
      </c>
      <c r="C81" s="3" t="s">
        <v>32</v>
      </c>
      <c r="D81" s="3" t="s">
        <v>704</v>
      </c>
      <c r="E81" s="3" t="s">
        <v>33</v>
      </c>
      <c r="F81" s="3" t="s">
        <v>705</v>
      </c>
      <c r="G81" s="3" t="s">
        <v>705</v>
      </c>
      <c r="H81" s="3">
        <v>23.09</v>
      </c>
      <c r="I81" s="3" t="s">
        <v>678</v>
      </c>
      <c r="J81" s="3" t="s">
        <v>703</v>
      </c>
      <c r="K81" s="3">
        <v>1.09E-2</v>
      </c>
      <c r="L81" s="3">
        <v>2.5000000000000001E-4</v>
      </c>
      <c r="M81" s="3">
        <v>0.56799999999999995</v>
      </c>
      <c r="N81" s="3">
        <v>2.5</v>
      </c>
      <c r="O81" s="3">
        <v>625.53</v>
      </c>
      <c r="P81" s="3" t="s">
        <v>676</v>
      </c>
      <c r="Q81" s="3" t="s">
        <v>518</v>
      </c>
    </row>
    <row r="82" spans="1:17" ht="24" x14ac:dyDescent="0.25">
      <c r="A82" s="2">
        <v>79</v>
      </c>
      <c r="B82" s="2">
        <v>2023</v>
      </c>
      <c r="C82" s="2" t="s">
        <v>39</v>
      </c>
      <c r="D82" s="2" t="s">
        <v>677</v>
      </c>
      <c r="E82" s="2" t="s">
        <v>65</v>
      </c>
      <c r="F82" s="2" t="s">
        <v>700</v>
      </c>
      <c r="G82" s="2" t="s">
        <v>700</v>
      </c>
      <c r="H82" s="2">
        <v>15.855</v>
      </c>
      <c r="I82" s="2" t="s">
        <v>674</v>
      </c>
      <c r="J82" s="2" t="s">
        <v>679</v>
      </c>
      <c r="K82" s="2">
        <v>0.48549999999999999</v>
      </c>
      <c r="L82" s="2">
        <v>7.7000000000000002E-3</v>
      </c>
      <c r="M82" s="2">
        <v>7.37</v>
      </c>
      <c r="N82" s="2">
        <v>46.5</v>
      </c>
      <c r="O82" s="2">
        <v>98.13</v>
      </c>
      <c r="P82" s="2" t="s">
        <v>676</v>
      </c>
      <c r="Q82" s="2" t="s">
        <v>684</v>
      </c>
    </row>
    <row r="83" spans="1:17" ht="24" x14ac:dyDescent="0.25">
      <c r="A83" s="3">
        <v>80</v>
      </c>
      <c r="B83" s="3">
        <v>2023</v>
      </c>
      <c r="C83" s="3" t="s">
        <v>46</v>
      </c>
      <c r="D83" s="3" t="s">
        <v>677</v>
      </c>
      <c r="E83" s="3" t="s">
        <v>88</v>
      </c>
      <c r="F83" s="3" t="s">
        <v>690</v>
      </c>
      <c r="G83" s="3" t="s">
        <v>690</v>
      </c>
      <c r="H83" s="3">
        <v>37.465000000000003</v>
      </c>
      <c r="I83" s="3" t="s">
        <v>678</v>
      </c>
      <c r="J83" s="3" t="s">
        <v>703</v>
      </c>
      <c r="K83" s="3">
        <v>0.2427</v>
      </c>
      <c r="L83" s="3">
        <v>9.0900000000000009E-3</v>
      </c>
      <c r="M83" s="3">
        <v>18.699000000000002</v>
      </c>
      <c r="N83" s="3">
        <v>49.9</v>
      </c>
      <c r="O83" s="3">
        <v>933.5</v>
      </c>
      <c r="P83" s="3" t="s">
        <v>676</v>
      </c>
      <c r="Q83" s="3" t="s">
        <v>518</v>
      </c>
    </row>
    <row r="84" spans="1:17" ht="24" x14ac:dyDescent="0.25">
      <c r="A84" s="2">
        <v>81</v>
      </c>
      <c r="B84" s="2">
        <v>2023</v>
      </c>
      <c r="C84" s="2" t="s">
        <v>22</v>
      </c>
      <c r="D84" s="2" t="s">
        <v>685</v>
      </c>
      <c r="E84" s="2" t="s">
        <v>65</v>
      </c>
      <c r="F84" s="2" t="s">
        <v>686</v>
      </c>
      <c r="G84" s="2" t="s">
        <v>686</v>
      </c>
      <c r="H84" s="2">
        <v>47.360999999999997</v>
      </c>
      <c r="I84" s="2" t="s">
        <v>697</v>
      </c>
      <c r="J84" s="2" t="s">
        <v>703</v>
      </c>
      <c r="K84" s="2">
        <v>1.0274000000000001</v>
      </c>
      <c r="L84" s="2">
        <v>4.8660000000000002E-2</v>
      </c>
      <c r="M84" s="2">
        <v>38.786000000000001</v>
      </c>
      <c r="N84" s="2">
        <v>81.900000000000006</v>
      </c>
      <c r="O84" s="2">
        <v>2520.0500000000002</v>
      </c>
      <c r="P84" s="2" t="s">
        <v>676</v>
      </c>
      <c r="Q84" s="2" t="s">
        <v>698</v>
      </c>
    </row>
    <row r="85" spans="1:17" ht="24" x14ac:dyDescent="0.25">
      <c r="A85" s="3">
        <v>82</v>
      </c>
      <c r="B85" s="3">
        <v>2023</v>
      </c>
      <c r="C85" s="3" t="s">
        <v>32</v>
      </c>
      <c r="D85" s="3" t="s">
        <v>704</v>
      </c>
      <c r="E85" s="3" t="s">
        <v>24</v>
      </c>
      <c r="F85" s="3" t="s">
        <v>700</v>
      </c>
      <c r="G85" s="3" t="s">
        <v>700</v>
      </c>
      <c r="H85" s="3">
        <v>10.218</v>
      </c>
      <c r="I85" s="3" t="s">
        <v>697</v>
      </c>
      <c r="J85" s="3" t="s">
        <v>706</v>
      </c>
      <c r="K85" s="3">
        <v>0.35139999999999999</v>
      </c>
      <c r="L85" s="3">
        <v>3.5899999999999999E-3</v>
      </c>
      <c r="M85" s="3">
        <v>5.6890000000000001</v>
      </c>
      <c r="N85" s="3">
        <v>55.7</v>
      </c>
      <c r="O85" s="3">
        <v>822.18</v>
      </c>
      <c r="P85" s="3" t="s">
        <v>676</v>
      </c>
      <c r="Q85" s="3" t="s">
        <v>518</v>
      </c>
    </row>
    <row r="86" spans="1:17" ht="24" x14ac:dyDescent="0.25">
      <c r="A86" s="2">
        <v>83</v>
      </c>
      <c r="B86" s="2">
        <v>2023</v>
      </c>
      <c r="C86" s="2" t="s">
        <v>39</v>
      </c>
      <c r="D86" s="2" t="s">
        <v>677</v>
      </c>
      <c r="E86" s="2" t="s">
        <v>58</v>
      </c>
      <c r="F86" s="2" t="s">
        <v>705</v>
      </c>
      <c r="G86" s="2" t="s">
        <v>705</v>
      </c>
      <c r="H86" s="2">
        <v>0.43099999999999999</v>
      </c>
      <c r="I86" s="2" t="s">
        <v>687</v>
      </c>
      <c r="J86" s="2" t="s">
        <v>688</v>
      </c>
      <c r="K86" s="2">
        <v>1.23E-2</v>
      </c>
      <c r="L86" s="2">
        <v>1.0000000000000001E-5</v>
      </c>
      <c r="M86" s="2">
        <v>0.372</v>
      </c>
      <c r="N86" s="2">
        <v>86.3</v>
      </c>
      <c r="O86" s="2">
        <v>4247.6499999999996</v>
      </c>
      <c r="P86" s="2" t="s">
        <v>676</v>
      </c>
      <c r="Q86" s="2" t="s">
        <v>698</v>
      </c>
    </row>
    <row r="87" spans="1:17" ht="24" x14ac:dyDescent="0.25">
      <c r="A87" s="3">
        <v>84</v>
      </c>
      <c r="B87" s="3">
        <v>2023</v>
      </c>
      <c r="C87" s="3" t="s">
        <v>46</v>
      </c>
      <c r="D87" s="3" t="s">
        <v>689</v>
      </c>
      <c r="E87" s="3" t="s">
        <v>65</v>
      </c>
      <c r="F87" s="3" t="s">
        <v>696</v>
      </c>
      <c r="G87" s="3" t="s">
        <v>696</v>
      </c>
      <c r="H87" s="3">
        <v>13.808999999999999</v>
      </c>
      <c r="I87" s="3" t="s">
        <v>674</v>
      </c>
      <c r="J87" s="3" t="s">
        <v>692</v>
      </c>
      <c r="K87" s="3">
        <v>0.624</v>
      </c>
      <c r="L87" s="3">
        <v>8.6199999999999992E-3</v>
      </c>
      <c r="M87" s="3">
        <v>9.4979999999999993</v>
      </c>
      <c r="N87" s="3">
        <v>68.8</v>
      </c>
      <c r="O87" s="3">
        <v>2580.11</v>
      </c>
      <c r="P87" s="3" t="s">
        <v>676</v>
      </c>
      <c r="Q87" s="3" t="s">
        <v>684</v>
      </c>
    </row>
    <row r="88" spans="1:17" ht="24" x14ac:dyDescent="0.25">
      <c r="A88" s="2">
        <v>85</v>
      </c>
      <c r="B88" s="2">
        <v>2023</v>
      </c>
      <c r="C88" s="2" t="s">
        <v>22</v>
      </c>
      <c r="D88" s="2" t="s">
        <v>689</v>
      </c>
      <c r="E88" s="2" t="s">
        <v>54</v>
      </c>
      <c r="F88" s="2" t="s">
        <v>702</v>
      </c>
      <c r="G88" s="2" t="s">
        <v>702</v>
      </c>
      <c r="H88" s="2">
        <v>39.984000000000002</v>
      </c>
      <c r="I88" s="2" t="s">
        <v>687</v>
      </c>
      <c r="J88" s="2" t="s">
        <v>699</v>
      </c>
      <c r="K88" s="2">
        <v>0.46760000000000002</v>
      </c>
      <c r="L88" s="2">
        <v>1.8700000000000001E-2</v>
      </c>
      <c r="M88" s="2">
        <v>19.46</v>
      </c>
      <c r="N88" s="2">
        <v>48.7</v>
      </c>
      <c r="O88" s="2">
        <v>2537.25</v>
      </c>
      <c r="P88" s="2" t="s">
        <v>676</v>
      </c>
      <c r="Q88" s="2" t="s">
        <v>698</v>
      </c>
    </row>
    <row r="89" spans="1:17" ht="24" x14ac:dyDescent="0.25">
      <c r="A89" s="3">
        <v>86</v>
      </c>
      <c r="B89" s="3">
        <v>2023</v>
      </c>
      <c r="C89" s="3" t="s">
        <v>32</v>
      </c>
      <c r="D89" s="3" t="s">
        <v>689</v>
      </c>
      <c r="E89" s="3" t="s">
        <v>58</v>
      </c>
      <c r="F89" s="3" t="s">
        <v>707</v>
      </c>
      <c r="G89" s="3" t="s">
        <v>707</v>
      </c>
      <c r="H89" s="3">
        <v>25.957999999999998</v>
      </c>
      <c r="I89" s="3" t="s">
        <v>678</v>
      </c>
      <c r="J89" s="3" t="s">
        <v>706</v>
      </c>
      <c r="K89" s="3">
        <v>1.1494</v>
      </c>
      <c r="L89" s="3">
        <v>2.9839999999999998E-2</v>
      </c>
      <c r="M89" s="3">
        <v>0.19700000000000001</v>
      </c>
      <c r="N89" s="3">
        <v>0.8</v>
      </c>
      <c r="O89" s="3">
        <v>3386.81</v>
      </c>
      <c r="P89" s="3" t="s">
        <v>676</v>
      </c>
      <c r="Q89" s="3" t="s">
        <v>698</v>
      </c>
    </row>
    <row r="90" spans="1:17" ht="24" x14ac:dyDescent="0.25">
      <c r="A90" s="2">
        <v>87</v>
      </c>
      <c r="B90" s="2">
        <v>2023</v>
      </c>
      <c r="C90" s="2" t="s">
        <v>39</v>
      </c>
      <c r="D90" s="2" t="s">
        <v>672</v>
      </c>
      <c r="E90" s="2" t="s">
        <v>88</v>
      </c>
      <c r="F90" s="2" t="s">
        <v>673</v>
      </c>
      <c r="G90" s="2" t="s">
        <v>673</v>
      </c>
      <c r="H90" s="2">
        <v>43.106000000000002</v>
      </c>
      <c r="I90" s="2" t="s">
        <v>687</v>
      </c>
      <c r="J90" s="2" t="s">
        <v>688</v>
      </c>
      <c r="K90" s="2">
        <v>0.53610000000000002</v>
      </c>
      <c r="L90" s="2">
        <v>2.3109999999999999E-2</v>
      </c>
      <c r="M90" s="2">
        <v>10.196999999999999</v>
      </c>
      <c r="N90" s="2">
        <v>23.7</v>
      </c>
      <c r="O90" s="2">
        <v>1383.57</v>
      </c>
      <c r="P90" s="2" t="s">
        <v>676</v>
      </c>
      <c r="Q90" s="2" t="s">
        <v>684</v>
      </c>
    </row>
    <row r="91" spans="1:17" ht="24" x14ac:dyDescent="0.25">
      <c r="A91" s="3">
        <v>88</v>
      </c>
      <c r="B91" s="3">
        <v>2023</v>
      </c>
      <c r="C91" s="3" t="s">
        <v>46</v>
      </c>
      <c r="D91" s="3" t="s">
        <v>677</v>
      </c>
      <c r="E91" s="3" t="s">
        <v>204</v>
      </c>
      <c r="F91" s="3" t="s">
        <v>705</v>
      </c>
      <c r="G91" s="3" t="s">
        <v>705</v>
      </c>
      <c r="H91" s="3">
        <v>10.606</v>
      </c>
      <c r="I91" s="3" t="s">
        <v>694</v>
      </c>
      <c r="J91" s="3" t="s">
        <v>699</v>
      </c>
      <c r="K91" s="3">
        <v>1.15E-2</v>
      </c>
      <c r="L91" s="3">
        <v>1.2E-4</v>
      </c>
      <c r="M91" s="3">
        <v>3.5539999999999998</v>
      </c>
      <c r="N91" s="3">
        <v>33.5</v>
      </c>
      <c r="O91" s="3">
        <v>4278.91</v>
      </c>
      <c r="P91" s="3" t="s">
        <v>676</v>
      </c>
      <c r="Q91" s="3" t="s">
        <v>518</v>
      </c>
    </row>
    <row r="92" spans="1:17" ht="24" x14ac:dyDescent="0.25">
      <c r="A92" s="2">
        <v>89</v>
      </c>
      <c r="B92" s="2">
        <v>2023</v>
      </c>
      <c r="C92" s="2" t="s">
        <v>22</v>
      </c>
      <c r="D92" s="2" t="s">
        <v>672</v>
      </c>
      <c r="E92" s="2" t="s">
        <v>33</v>
      </c>
      <c r="F92" s="2" t="s">
        <v>693</v>
      </c>
      <c r="G92" s="2" t="s">
        <v>693</v>
      </c>
      <c r="H92" s="2">
        <v>34.332000000000001</v>
      </c>
      <c r="I92" s="2" t="s">
        <v>687</v>
      </c>
      <c r="J92" s="2" t="s">
        <v>683</v>
      </c>
      <c r="K92" s="2">
        <v>4.8300000000000003E-2</v>
      </c>
      <c r="L92" s="2">
        <v>1.66E-3</v>
      </c>
      <c r="M92" s="2">
        <v>22.271999999999998</v>
      </c>
      <c r="N92" s="2">
        <v>64.900000000000006</v>
      </c>
      <c r="O92" s="2">
        <v>4030.23</v>
      </c>
      <c r="P92" s="2" t="s">
        <v>676</v>
      </c>
      <c r="Q92" s="2" t="s">
        <v>684</v>
      </c>
    </row>
    <row r="93" spans="1:17" ht="24" x14ac:dyDescent="0.25">
      <c r="A93" s="3">
        <v>90</v>
      </c>
      <c r="B93" s="3">
        <v>2023</v>
      </c>
      <c r="C93" s="3" t="s">
        <v>32</v>
      </c>
      <c r="D93" s="3" t="s">
        <v>689</v>
      </c>
      <c r="E93" s="3" t="s">
        <v>110</v>
      </c>
      <c r="F93" s="3" t="s">
        <v>693</v>
      </c>
      <c r="G93" s="3" t="s">
        <v>693</v>
      </c>
      <c r="H93" s="3">
        <v>47.960999999999999</v>
      </c>
      <c r="I93" s="3" t="s">
        <v>674</v>
      </c>
      <c r="J93" s="3" t="s">
        <v>695</v>
      </c>
      <c r="K93" s="3">
        <v>3.5000000000000003E-2</v>
      </c>
      <c r="L93" s="3">
        <v>1.6800000000000001E-3</v>
      </c>
      <c r="M93" s="3">
        <v>34.777000000000001</v>
      </c>
      <c r="N93" s="3">
        <v>72.5</v>
      </c>
      <c r="O93" s="3">
        <v>924.21</v>
      </c>
      <c r="P93" s="3" t="s">
        <v>676</v>
      </c>
      <c r="Q93" s="3" t="s">
        <v>518</v>
      </c>
    </row>
    <row r="94" spans="1:17" ht="24" x14ac:dyDescent="0.25">
      <c r="A94" s="2">
        <v>91</v>
      </c>
      <c r="B94" s="2">
        <v>2023</v>
      </c>
      <c r="C94" s="2" t="s">
        <v>39</v>
      </c>
      <c r="D94" s="2" t="s">
        <v>704</v>
      </c>
      <c r="E94" s="2" t="s">
        <v>96</v>
      </c>
      <c r="F94" s="2" t="s">
        <v>673</v>
      </c>
      <c r="G94" s="2" t="s">
        <v>673</v>
      </c>
      <c r="H94" s="2">
        <v>24.382000000000001</v>
      </c>
      <c r="I94" s="2" t="s">
        <v>674</v>
      </c>
      <c r="J94" s="2" t="s">
        <v>699</v>
      </c>
      <c r="K94" s="2">
        <v>0.55530000000000002</v>
      </c>
      <c r="L94" s="2">
        <v>1.354E-2</v>
      </c>
      <c r="M94" s="2">
        <v>18.838999999999999</v>
      </c>
      <c r="N94" s="2">
        <v>77.3</v>
      </c>
      <c r="O94" s="2">
        <v>286.16000000000003</v>
      </c>
      <c r="P94" s="2" t="s">
        <v>676</v>
      </c>
      <c r="Q94" s="2" t="s">
        <v>684</v>
      </c>
    </row>
    <row r="95" spans="1:17" ht="24" x14ac:dyDescent="0.25">
      <c r="A95" s="3">
        <v>92</v>
      </c>
      <c r="B95" s="3">
        <v>2023</v>
      </c>
      <c r="C95" s="3" t="s">
        <v>46</v>
      </c>
      <c r="D95" s="3" t="s">
        <v>677</v>
      </c>
      <c r="E95" s="3" t="s">
        <v>88</v>
      </c>
      <c r="F95" s="3" t="s">
        <v>700</v>
      </c>
      <c r="G95" s="3" t="s">
        <v>700</v>
      </c>
      <c r="H95" s="3">
        <v>12.789</v>
      </c>
      <c r="I95" s="3" t="s">
        <v>674</v>
      </c>
      <c r="J95" s="3" t="s">
        <v>688</v>
      </c>
      <c r="K95" s="3">
        <v>0.46339999999999998</v>
      </c>
      <c r="L95" s="3">
        <v>5.9300000000000004E-3</v>
      </c>
      <c r="M95" s="3">
        <v>1.1080000000000001</v>
      </c>
      <c r="N95" s="3">
        <v>8.6999999999999993</v>
      </c>
      <c r="O95" s="3">
        <v>3735.74</v>
      </c>
      <c r="P95" s="3" t="s">
        <v>676</v>
      </c>
      <c r="Q95" s="3" t="s">
        <v>518</v>
      </c>
    </row>
    <row r="96" spans="1:17" ht="24" x14ac:dyDescent="0.25">
      <c r="A96" s="2">
        <v>93</v>
      </c>
      <c r="B96" s="2">
        <v>2023</v>
      </c>
      <c r="C96" s="2" t="s">
        <v>22</v>
      </c>
      <c r="D96" s="2" t="s">
        <v>672</v>
      </c>
      <c r="E96" s="2" t="s">
        <v>65</v>
      </c>
      <c r="F96" s="2" t="s">
        <v>681</v>
      </c>
      <c r="G96" s="2" t="s">
        <v>681</v>
      </c>
      <c r="H96" s="2">
        <v>12.96</v>
      </c>
      <c r="I96" s="2" t="s">
        <v>674</v>
      </c>
      <c r="J96" s="2" t="s">
        <v>692</v>
      </c>
      <c r="K96" s="2">
        <v>6.4799999999999996E-2</v>
      </c>
      <c r="L96" s="2">
        <v>8.4000000000000003E-4</v>
      </c>
      <c r="M96" s="2">
        <v>1.4139999999999999</v>
      </c>
      <c r="N96" s="2">
        <v>10.9</v>
      </c>
      <c r="O96" s="2">
        <v>4343.47</v>
      </c>
      <c r="P96" s="2" t="s">
        <v>676</v>
      </c>
      <c r="Q96" s="2" t="s">
        <v>518</v>
      </c>
    </row>
    <row r="97" spans="1:17" ht="24" x14ac:dyDescent="0.25">
      <c r="A97" s="3">
        <v>94</v>
      </c>
      <c r="B97" s="3">
        <v>2023</v>
      </c>
      <c r="C97" s="3" t="s">
        <v>32</v>
      </c>
      <c r="D97" s="3" t="s">
        <v>680</v>
      </c>
      <c r="E97" s="3" t="s">
        <v>204</v>
      </c>
      <c r="F97" s="3" t="s">
        <v>681</v>
      </c>
      <c r="G97" s="3" t="s">
        <v>681</v>
      </c>
      <c r="H97" s="3">
        <v>48.970999999999997</v>
      </c>
      <c r="I97" s="3" t="s">
        <v>697</v>
      </c>
      <c r="J97" s="3" t="s">
        <v>706</v>
      </c>
      <c r="K97" s="3">
        <v>7.5399999999999995E-2</v>
      </c>
      <c r="L97" s="3">
        <v>3.6900000000000001E-3</v>
      </c>
      <c r="M97" s="3">
        <v>14.327999999999999</v>
      </c>
      <c r="N97" s="3">
        <v>29.3</v>
      </c>
      <c r="O97" s="3">
        <v>2576.6999999999998</v>
      </c>
      <c r="P97" s="3" t="s">
        <v>676</v>
      </c>
      <c r="Q97" s="3" t="s">
        <v>698</v>
      </c>
    </row>
    <row r="98" spans="1:17" ht="24" x14ac:dyDescent="0.25">
      <c r="A98" s="2">
        <v>95</v>
      </c>
      <c r="B98" s="2">
        <v>2023</v>
      </c>
      <c r="C98" s="2" t="s">
        <v>39</v>
      </c>
      <c r="D98" s="2" t="s">
        <v>677</v>
      </c>
      <c r="E98" s="2" t="s">
        <v>33</v>
      </c>
      <c r="F98" s="2" t="s">
        <v>696</v>
      </c>
      <c r="G98" s="2" t="s">
        <v>696</v>
      </c>
      <c r="H98" s="2">
        <v>23.241</v>
      </c>
      <c r="I98" s="2" t="s">
        <v>682</v>
      </c>
      <c r="J98" s="2" t="s">
        <v>692</v>
      </c>
      <c r="K98" s="2">
        <v>0.89480000000000004</v>
      </c>
      <c r="L98" s="2">
        <v>1.16E-3</v>
      </c>
      <c r="M98" s="2">
        <v>18.161000000000001</v>
      </c>
      <c r="N98" s="2">
        <v>78.099999999999994</v>
      </c>
      <c r="O98" s="2">
        <v>3220.87</v>
      </c>
      <c r="P98" s="2" t="s">
        <v>676</v>
      </c>
      <c r="Q98" s="2" t="s">
        <v>518</v>
      </c>
    </row>
    <row r="99" spans="1:17" ht="24" x14ac:dyDescent="0.25">
      <c r="A99" s="3">
        <v>96</v>
      </c>
      <c r="B99" s="3">
        <v>2023</v>
      </c>
      <c r="C99" s="3" t="s">
        <v>46</v>
      </c>
      <c r="D99" s="3" t="s">
        <v>680</v>
      </c>
      <c r="E99" s="3" t="s">
        <v>117</v>
      </c>
      <c r="F99" s="3" t="s">
        <v>690</v>
      </c>
      <c r="G99" s="3" t="s">
        <v>690</v>
      </c>
      <c r="H99" s="3">
        <v>45.363</v>
      </c>
      <c r="I99" s="3" t="s">
        <v>674</v>
      </c>
      <c r="J99" s="3" t="s">
        <v>679</v>
      </c>
      <c r="K99" s="3">
        <v>0.2099</v>
      </c>
      <c r="L99" s="3">
        <v>9.5200000000000007E-3</v>
      </c>
      <c r="M99" s="3">
        <v>14.029</v>
      </c>
      <c r="N99" s="3">
        <v>30.9</v>
      </c>
      <c r="O99" s="3">
        <v>1601.74</v>
      </c>
      <c r="P99" s="3" t="s">
        <v>676</v>
      </c>
      <c r="Q99" s="3" t="s">
        <v>518</v>
      </c>
    </row>
    <row r="100" spans="1:17" ht="24" x14ac:dyDescent="0.25">
      <c r="A100" s="2">
        <v>97</v>
      </c>
      <c r="B100" s="2">
        <v>2023</v>
      </c>
      <c r="C100" s="2" t="s">
        <v>22</v>
      </c>
      <c r="D100" s="2" t="s">
        <v>672</v>
      </c>
      <c r="E100" s="2" t="s">
        <v>204</v>
      </c>
      <c r="F100" s="2" t="s">
        <v>690</v>
      </c>
      <c r="G100" s="2" t="s">
        <v>690</v>
      </c>
      <c r="H100" s="2">
        <v>44.396000000000001</v>
      </c>
      <c r="I100" s="2" t="s">
        <v>682</v>
      </c>
      <c r="J100" s="2" t="s">
        <v>683</v>
      </c>
      <c r="K100" s="2">
        <v>0.29759999999999998</v>
      </c>
      <c r="L100" s="2">
        <v>2.2200000000000002E-3</v>
      </c>
      <c r="M100" s="2">
        <v>37.51</v>
      </c>
      <c r="N100" s="2">
        <v>84.5</v>
      </c>
      <c r="O100" s="2">
        <v>3752.08</v>
      </c>
      <c r="P100" s="2" t="s">
        <v>676</v>
      </c>
      <c r="Q100" s="2" t="s">
        <v>684</v>
      </c>
    </row>
    <row r="101" spans="1:17" ht="24" x14ac:dyDescent="0.25">
      <c r="A101" s="3">
        <v>98</v>
      </c>
      <c r="B101" s="3">
        <v>2023</v>
      </c>
      <c r="C101" s="3" t="s">
        <v>32</v>
      </c>
      <c r="D101" s="3" t="s">
        <v>680</v>
      </c>
      <c r="E101" s="3" t="s">
        <v>96</v>
      </c>
      <c r="F101" s="3" t="s">
        <v>693</v>
      </c>
      <c r="G101" s="3" t="s">
        <v>693</v>
      </c>
      <c r="H101" s="3">
        <v>1.2529999999999999</v>
      </c>
      <c r="I101" s="3" t="s">
        <v>674</v>
      </c>
      <c r="J101" s="3" t="s">
        <v>706</v>
      </c>
      <c r="K101" s="3">
        <v>4.6600000000000003E-2</v>
      </c>
      <c r="L101" s="3">
        <v>6.0000000000000002E-5</v>
      </c>
      <c r="M101" s="3">
        <v>0.747</v>
      </c>
      <c r="N101" s="3">
        <v>59.6</v>
      </c>
      <c r="O101" s="3">
        <v>4705.16</v>
      </c>
      <c r="P101" s="3" t="s">
        <v>676</v>
      </c>
      <c r="Q101" s="3" t="s">
        <v>684</v>
      </c>
    </row>
    <row r="102" spans="1:17" ht="24" x14ac:dyDescent="0.25">
      <c r="A102" s="2">
        <v>99</v>
      </c>
      <c r="B102" s="2">
        <v>2023</v>
      </c>
      <c r="C102" s="2" t="s">
        <v>39</v>
      </c>
      <c r="D102" s="2" t="s">
        <v>704</v>
      </c>
      <c r="E102" s="2" t="s">
        <v>92</v>
      </c>
      <c r="F102" s="2" t="s">
        <v>693</v>
      </c>
      <c r="G102" s="2" t="s">
        <v>693</v>
      </c>
      <c r="H102" s="2">
        <v>5.24</v>
      </c>
      <c r="I102" s="2" t="s">
        <v>694</v>
      </c>
      <c r="J102" s="2" t="s">
        <v>683</v>
      </c>
      <c r="K102" s="2">
        <v>3.3300000000000003E-2</v>
      </c>
      <c r="L102" s="2">
        <v>1.7000000000000001E-4</v>
      </c>
      <c r="M102" s="2">
        <v>4.1440000000000001</v>
      </c>
      <c r="N102" s="2">
        <v>79.099999999999994</v>
      </c>
      <c r="O102" s="2">
        <v>2764.75</v>
      </c>
      <c r="P102" s="2" t="s">
        <v>676</v>
      </c>
      <c r="Q102" s="2" t="s">
        <v>518</v>
      </c>
    </row>
    <row r="103" spans="1:17" ht="24" x14ac:dyDescent="0.25">
      <c r="A103" s="3">
        <v>100</v>
      </c>
      <c r="B103" s="3">
        <v>2023</v>
      </c>
      <c r="C103" s="3" t="s">
        <v>46</v>
      </c>
      <c r="D103" s="3" t="s">
        <v>689</v>
      </c>
      <c r="E103" s="3" t="s">
        <v>117</v>
      </c>
      <c r="F103" s="3" t="s">
        <v>707</v>
      </c>
      <c r="G103" s="3" t="s">
        <v>707</v>
      </c>
      <c r="H103" s="3">
        <v>13.196</v>
      </c>
      <c r="I103" s="3" t="s">
        <v>691</v>
      </c>
      <c r="J103" s="3" t="s">
        <v>703</v>
      </c>
      <c r="K103" s="3">
        <v>1.0531999999999999</v>
      </c>
      <c r="L103" s="3">
        <v>1.3899999999999999E-2</v>
      </c>
      <c r="M103" s="3">
        <v>0</v>
      </c>
      <c r="N103" s="3">
        <v>0</v>
      </c>
      <c r="O103" s="3">
        <v>3291.42</v>
      </c>
      <c r="P103" s="3" t="s">
        <v>676</v>
      </c>
      <c r="Q103" s="3" t="s">
        <v>684</v>
      </c>
    </row>
  </sheetData>
  <autoFilter ref="A3:Q3" xr:uid="{00000000-0009-0000-0000-000004000000}"/>
  <mergeCells count="2">
    <mergeCell ref="A1:P1"/>
    <mergeCell ref="A2:P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T103"/>
  <sheetViews>
    <sheetView showGridLines="0" workbookViewId="0">
      <pane ySplit="3" topLeftCell="A22"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708</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25.5" x14ac:dyDescent="0.25">
      <c r="A3" s="1" t="s">
        <v>2</v>
      </c>
      <c r="B3" s="1" t="s">
        <v>3</v>
      </c>
      <c r="C3" s="1" t="s">
        <v>4</v>
      </c>
      <c r="D3" s="1" t="s">
        <v>709</v>
      </c>
      <c r="E3" s="1" t="s">
        <v>710</v>
      </c>
      <c r="F3" s="1" t="s">
        <v>711</v>
      </c>
      <c r="G3" s="1" t="s">
        <v>712</v>
      </c>
      <c r="H3" s="1" t="s">
        <v>713</v>
      </c>
      <c r="I3" s="1" t="s">
        <v>532</v>
      </c>
      <c r="J3" s="1" t="s">
        <v>714</v>
      </c>
      <c r="K3" s="1" t="s">
        <v>535</v>
      </c>
      <c r="L3" s="1" t="s">
        <v>715</v>
      </c>
      <c r="M3" s="1" t="s">
        <v>716</v>
      </c>
      <c r="N3" s="1" t="s">
        <v>717</v>
      </c>
      <c r="O3" s="1" t="s">
        <v>718</v>
      </c>
      <c r="P3" s="1" t="s">
        <v>719</v>
      </c>
      <c r="Q3" s="1" t="s">
        <v>720</v>
      </c>
      <c r="R3" s="1" t="s">
        <v>721</v>
      </c>
      <c r="S3" s="1" t="s">
        <v>722</v>
      </c>
      <c r="T3" s="1" t="s">
        <v>723</v>
      </c>
    </row>
    <row r="4" spans="1:20" x14ac:dyDescent="0.25">
      <c r="A4" s="2">
        <v>1</v>
      </c>
      <c r="B4" s="2">
        <v>2023</v>
      </c>
      <c r="C4" s="2" t="s">
        <v>22</v>
      </c>
      <c r="D4" s="2" t="s">
        <v>724</v>
      </c>
      <c r="E4" s="2" t="s">
        <v>725</v>
      </c>
      <c r="F4" s="2" t="s">
        <v>726</v>
      </c>
      <c r="G4" s="2" t="s">
        <v>727</v>
      </c>
      <c r="H4" s="2" t="s">
        <v>727</v>
      </c>
      <c r="I4" s="2" t="s">
        <v>548</v>
      </c>
      <c r="J4" s="2" t="s">
        <v>728</v>
      </c>
      <c r="K4" s="2">
        <v>5345.8</v>
      </c>
      <c r="L4" s="2" t="s">
        <v>38</v>
      </c>
      <c r="M4" s="2">
        <v>4.1000000000000002E-2</v>
      </c>
      <c r="N4" s="2">
        <v>0.21918000000000001</v>
      </c>
      <c r="O4" s="2">
        <v>2</v>
      </c>
      <c r="P4" s="2">
        <v>18.28</v>
      </c>
      <c r="Q4" s="2">
        <v>3.6560000000000002E-2</v>
      </c>
      <c r="R4" s="2">
        <v>0.25574000000000002</v>
      </c>
      <c r="S4" s="2" t="s">
        <v>729</v>
      </c>
      <c r="T4" s="2" t="s">
        <v>730</v>
      </c>
    </row>
    <row r="5" spans="1:20" x14ac:dyDescent="0.25">
      <c r="A5" s="3">
        <v>2</v>
      </c>
      <c r="B5" s="3">
        <v>2023</v>
      </c>
      <c r="C5" s="3" t="s">
        <v>32</v>
      </c>
      <c r="D5" s="3" t="s">
        <v>731</v>
      </c>
      <c r="E5" s="3" t="s">
        <v>725</v>
      </c>
      <c r="F5" s="3" t="s">
        <v>726</v>
      </c>
      <c r="G5" s="3" t="s">
        <v>732</v>
      </c>
      <c r="H5" s="3" t="s">
        <v>733</v>
      </c>
      <c r="I5" s="3" t="s">
        <v>734</v>
      </c>
      <c r="J5" s="3" t="s">
        <v>728</v>
      </c>
      <c r="K5" s="3">
        <v>11701</v>
      </c>
      <c r="L5" s="3" t="s">
        <v>30</v>
      </c>
      <c r="M5" s="3">
        <v>8.8999999999999996E-2</v>
      </c>
      <c r="N5" s="3">
        <v>1.04139</v>
      </c>
      <c r="O5" s="3">
        <v>4</v>
      </c>
      <c r="P5" s="3">
        <v>28.71</v>
      </c>
      <c r="Q5" s="3">
        <v>0.11484</v>
      </c>
      <c r="R5" s="3">
        <v>1.1562300000000001</v>
      </c>
      <c r="S5" s="3" t="s">
        <v>735</v>
      </c>
      <c r="T5" s="3" t="s">
        <v>736</v>
      </c>
    </row>
    <row r="6" spans="1:20" x14ac:dyDescent="0.25">
      <c r="A6" s="2">
        <v>3</v>
      </c>
      <c r="B6" s="2">
        <v>2023</v>
      </c>
      <c r="C6" s="2" t="s">
        <v>39</v>
      </c>
      <c r="D6" s="2" t="s">
        <v>737</v>
      </c>
      <c r="E6" s="2" t="s">
        <v>738</v>
      </c>
      <c r="F6" s="2" t="s">
        <v>726</v>
      </c>
      <c r="G6" s="2" t="s">
        <v>733</v>
      </c>
      <c r="H6" s="2" t="s">
        <v>33</v>
      </c>
      <c r="I6" s="2" t="s">
        <v>739</v>
      </c>
      <c r="J6" s="2" t="s">
        <v>740</v>
      </c>
      <c r="K6" s="2">
        <v>6305.3</v>
      </c>
      <c r="L6" s="2" t="s">
        <v>30</v>
      </c>
      <c r="M6" s="2">
        <v>6.2E-2</v>
      </c>
      <c r="N6" s="2">
        <v>0.39093</v>
      </c>
      <c r="O6" s="2">
        <v>4</v>
      </c>
      <c r="P6" s="2">
        <v>37.72</v>
      </c>
      <c r="Q6" s="2">
        <v>0.15087999999999999</v>
      </c>
      <c r="R6" s="2">
        <v>0.54181000000000001</v>
      </c>
      <c r="S6" s="2" t="s">
        <v>735</v>
      </c>
      <c r="T6" s="2" t="s">
        <v>730</v>
      </c>
    </row>
    <row r="7" spans="1:20" x14ac:dyDescent="0.25">
      <c r="A7" s="3">
        <v>4</v>
      </c>
      <c r="B7" s="3">
        <v>2023</v>
      </c>
      <c r="C7" s="3" t="s">
        <v>46</v>
      </c>
      <c r="D7" s="3" t="s">
        <v>741</v>
      </c>
      <c r="E7" s="3" t="s">
        <v>742</v>
      </c>
      <c r="F7" s="3" t="s">
        <v>726</v>
      </c>
      <c r="G7" s="3" t="s">
        <v>733</v>
      </c>
      <c r="H7" s="3" t="s">
        <v>743</v>
      </c>
      <c r="I7" s="3" t="s">
        <v>744</v>
      </c>
      <c r="J7" s="3" t="s">
        <v>740</v>
      </c>
      <c r="K7" s="3">
        <v>4975.8</v>
      </c>
      <c r="L7" s="3" t="s">
        <v>30</v>
      </c>
      <c r="M7" s="3">
        <v>0.192</v>
      </c>
      <c r="N7" s="3">
        <v>0.95535000000000003</v>
      </c>
      <c r="O7" s="3">
        <v>2</v>
      </c>
      <c r="P7" s="3">
        <v>22.59</v>
      </c>
      <c r="Q7" s="3">
        <v>4.5179999999999998E-2</v>
      </c>
      <c r="R7" s="3">
        <v>1.0005299999999999</v>
      </c>
      <c r="S7" s="3" t="s">
        <v>729</v>
      </c>
      <c r="T7" s="3" t="s">
        <v>730</v>
      </c>
    </row>
    <row r="8" spans="1:20" x14ac:dyDescent="0.25">
      <c r="A8" s="2">
        <v>5</v>
      </c>
      <c r="B8" s="2">
        <v>2023</v>
      </c>
      <c r="C8" s="2" t="s">
        <v>22</v>
      </c>
      <c r="D8" s="2" t="s">
        <v>745</v>
      </c>
      <c r="E8" s="2" t="s">
        <v>738</v>
      </c>
      <c r="F8" s="2" t="s">
        <v>726</v>
      </c>
      <c r="G8" s="2" t="s">
        <v>746</v>
      </c>
      <c r="H8" s="2" t="s">
        <v>727</v>
      </c>
      <c r="I8" s="2" t="s">
        <v>734</v>
      </c>
      <c r="J8" s="2" t="s">
        <v>728</v>
      </c>
      <c r="K8" s="2">
        <v>6444.4</v>
      </c>
      <c r="L8" s="2" t="s">
        <v>38</v>
      </c>
      <c r="M8" s="2">
        <v>8.8999999999999996E-2</v>
      </c>
      <c r="N8" s="2">
        <v>0.57355</v>
      </c>
      <c r="O8" s="2">
        <v>7</v>
      </c>
      <c r="P8" s="2">
        <v>38.67</v>
      </c>
      <c r="Q8" s="2">
        <v>0.27068999999999999</v>
      </c>
      <c r="R8" s="2">
        <v>0.84423999999999999</v>
      </c>
      <c r="S8" s="2" t="s">
        <v>747</v>
      </c>
      <c r="T8" s="2" t="s">
        <v>736</v>
      </c>
    </row>
    <row r="9" spans="1:20" x14ac:dyDescent="0.25">
      <c r="A9" s="3">
        <v>6</v>
      </c>
      <c r="B9" s="3">
        <v>2023</v>
      </c>
      <c r="C9" s="3" t="s">
        <v>32</v>
      </c>
      <c r="D9" s="3" t="s">
        <v>748</v>
      </c>
      <c r="E9" s="3" t="s">
        <v>749</v>
      </c>
      <c r="F9" s="3" t="s">
        <v>726</v>
      </c>
      <c r="G9" s="3" t="s">
        <v>750</v>
      </c>
      <c r="H9" s="3" t="s">
        <v>33</v>
      </c>
      <c r="I9" s="3" t="s">
        <v>751</v>
      </c>
      <c r="J9" s="3" t="s">
        <v>752</v>
      </c>
      <c r="K9" s="3">
        <v>9571.4</v>
      </c>
      <c r="L9" s="3" t="s">
        <v>30</v>
      </c>
      <c r="M9" s="3">
        <v>0.58499999999999996</v>
      </c>
      <c r="N9" s="3">
        <v>5.5992699999999997</v>
      </c>
      <c r="O9" s="3">
        <v>5</v>
      </c>
      <c r="P9" s="3">
        <v>19.71</v>
      </c>
      <c r="Q9" s="3">
        <v>9.8549999999999999E-2</v>
      </c>
      <c r="R9" s="3">
        <v>5.6978200000000001</v>
      </c>
      <c r="S9" s="3" t="s">
        <v>753</v>
      </c>
      <c r="T9" s="3" t="s">
        <v>730</v>
      </c>
    </row>
    <row r="10" spans="1:20" ht="24" x14ac:dyDescent="0.25">
      <c r="A10" s="2">
        <v>7</v>
      </c>
      <c r="B10" s="2">
        <v>2023</v>
      </c>
      <c r="C10" s="2" t="s">
        <v>39</v>
      </c>
      <c r="D10" s="2" t="s">
        <v>754</v>
      </c>
      <c r="E10" s="2" t="s">
        <v>755</v>
      </c>
      <c r="F10" s="2" t="s">
        <v>726</v>
      </c>
      <c r="G10" s="2" t="s">
        <v>746</v>
      </c>
      <c r="H10" s="2" t="s">
        <v>756</v>
      </c>
      <c r="I10" s="2" t="s">
        <v>751</v>
      </c>
      <c r="J10" s="2" t="s">
        <v>752</v>
      </c>
      <c r="K10" s="2">
        <v>3192.6</v>
      </c>
      <c r="L10" s="2" t="s">
        <v>38</v>
      </c>
      <c r="M10" s="2">
        <v>0.58499999999999996</v>
      </c>
      <c r="N10" s="2">
        <v>1.8676699999999999</v>
      </c>
      <c r="O10" s="2">
        <v>6</v>
      </c>
      <c r="P10" s="2">
        <v>30.63</v>
      </c>
      <c r="Q10" s="2">
        <v>0.18378</v>
      </c>
      <c r="R10" s="2">
        <v>2.05145</v>
      </c>
      <c r="S10" s="2" t="s">
        <v>753</v>
      </c>
      <c r="T10" s="2" t="s">
        <v>757</v>
      </c>
    </row>
    <row r="11" spans="1:20" ht="24" x14ac:dyDescent="0.25">
      <c r="A11" s="3">
        <v>8</v>
      </c>
      <c r="B11" s="3">
        <v>2023</v>
      </c>
      <c r="C11" s="3" t="s">
        <v>46</v>
      </c>
      <c r="D11" s="3" t="s">
        <v>758</v>
      </c>
      <c r="E11" s="3" t="s">
        <v>738</v>
      </c>
      <c r="F11" s="3" t="s">
        <v>726</v>
      </c>
      <c r="G11" s="3" t="s">
        <v>759</v>
      </c>
      <c r="H11" s="3" t="s">
        <v>760</v>
      </c>
      <c r="I11" s="3" t="s">
        <v>761</v>
      </c>
      <c r="J11" s="3" t="s">
        <v>752</v>
      </c>
      <c r="K11" s="3">
        <v>2229.8000000000002</v>
      </c>
      <c r="L11" s="3" t="s">
        <v>38</v>
      </c>
      <c r="M11" s="3">
        <v>0.51</v>
      </c>
      <c r="N11" s="3">
        <v>1.1372</v>
      </c>
      <c r="O11" s="3">
        <v>4</v>
      </c>
      <c r="P11" s="3">
        <v>17.760000000000002</v>
      </c>
      <c r="Q11" s="3">
        <v>7.1040000000000006E-2</v>
      </c>
      <c r="R11" s="3">
        <v>1.20824</v>
      </c>
      <c r="S11" s="3" t="s">
        <v>735</v>
      </c>
      <c r="T11" s="3" t="s">
        <v>757</v>
      </c>
    </row>
    <row r="12" spans="1:20" ht="24" x14ac:dyDescent="0.25">
      <c r="A12" s="2">
        <v>9</v>
      </c>
      <c r="B12" s="2">
        <v>2023</v>
      </c>
      <c r="C12" s="2" t="s">
        <v>22</v>
      </c>
      <c r="D12" s="2" t="s">
        <v>762</v>
      </c>
      <c r="E12" s="2" t="s">
        <v>742</v>
      </c>
      <c r="F12" s="2" t="s">
        <v>763</v>
      </c>
      <c r="G12" s="2" t="s">
        <v>764</v>
      </c>
      <c r="H12" s="2" t="s">
        <v>765</v>
      </c>
      <c r="I12" s="2" t="s">
        <v>744</v>
      </c>
      <c r="J12" s="2" t="s">
        <v>740</v>
      </c>
      <c r="K12" s="2">
        <v>281.8</v>
      </c>
      <c r="L12" s="2" t="s">
        <v>38</v>
      </c>
      <c r="M12" s="2">
        <v>0.192</v>
      </c>
      <c r="N12" s="2">
        <v>5.4109999999999998E-2</v>
      </c>
      <c r="O12" s="2">
        <v>0</v>
      </c>
      <c r="P12" s="2">
        <v>39.24</v>
      </c>
      <c r="Q12" s="2">
        <v>0</v>
      </c>
      <c r="R12" s="2">
        <v>5.4109999999999998E-2</v>
      </c>
      <c r="S12" s="2" t="s">
        <v>747</v>
      </c>
      <c r="T12" s="2" t="s">
        <v>757</v>
      </c>
    </row>
    <row r="13" spans="1:20" x14ac:dyDescent="0.25">
      <c r="A13" s="3">
        <v>10</v>
      </c>
      <c r="B13" s="3">
        <v>2023</v>
      </c>
      <c r="C13" s="3" t="s">
        <v>32</v>
      </c>
      <c r="D13" s="3" t="s">
        <v>766</v>
      </c>
      <c r="E13" s="3" t="s">
        <v>742</v>
      </c>
      <c r="F13" s="3" t="s">
        <v>726</v>
      </c>
      <c r="G13" s="3" t="s">
        <v>760</v>
      </c>
      <c r="H13" s="3" t="s">
        <v>33</v>
      </c>
      <c r="I13" s="3" t="s">
        <v>734</v>
      </c>
      <c r="J13" s="3" t="s">
        <v>728</v>
      </c>
      <c r="K13" s="3">
        <v>8738.9</v>
      </c>
      <c r="L13" s="3" t="s">
        <v>38</v>
      </c>
      <c r="M13" s="3">
        <v>8.8999999999999996E-2</v>
      </c>
      <c r="N13" s="3">
        <v>0.77776000000000001</v>
      </c>
      <c r="O13" s="3">
        <v>3</v>
      </c>
      <c r="P13" s="3">
        <v>17.25</v>
      </c>
      <c r="Q13" s="3">
        <v>5.1749999999999997E-2</v>
      </c>
      <c r="R13" s="3">
        <v>0.82950999999999997</v>
      </c>
      <c r="S13" s="3" t="s">
        <v>753</v>
      </c>
      <c r="T13" s="3" t="s">
        <v>730</v>
      </c>
    </row>
    <row r="14" spans="1:20" x14ac:dyDescent="0.25">
      <c r="A14" s="2">
        <v>11</v>
      </c>
      <c r="B14" s="2">
        <v>2023</v>
      </c>
      <c r="C14" s="2" t="s">
        <v>39</v>
      </c>
      <c r="D14" s="2" t="s">
        <v>767</v>
      </c>
      <c r="E14" s="2" t="s">
        <v>742</v>
      </c>
      <c r="F14" s="2" t="s">
        <v>726</v>
      </c>
      <c r="G14" s="2" t="s">
        <v>768</v>
      </c>
      <c r="H14" s="2" t="s">
        <v>765</v>
      </c>
      <c r="I14" s="2" t="s">
        <v>734</v>
      </c>
      <c r="J14" s="2" t="s">
        <v>728</v>
      </c>
      <c r="K14" s="2">
        <v>11975.7</v>
      </c>
      <c r="L14" s="2" t="s">
        <v>30</v>
      </c>
      <c r="M14" s="2">
        <v>8.8999999999999996E-2</v>
      </c>
      <c r="N14" s="2">
        <v>1.0658399999999999</v>
      </c>
      <c r="O14" s="2">
        <v>7</v>
      </c>
      <c r="P14" s="2">
        <v>32.42</v>
      </c>
      <c r="Q14" s="2">
        <v>0.22694</v>
      </c>
      <c r="R14" s="2">
        <v>1.29278</v>
      </c>
      <c r="S14" s="2" t="s">
        <v>769</v>
      </c>
      <c r="T14" s="2" t="s">
        <v>730</v>
      </c>
    </row>
    <row r="15" spans="1:20" x14ac:dyDescent="0.25">
      <c r="A15" s="3">
        <v>12</v>
      </c>
      <c r="B15" s="3">
        <v>2023</v>
      </c>
      <c r="C15" s="3" t="s">
        <v>46</v>
      </c>
      <c r="D15" s="3" t="s">
        <v>770</v>
      </c>
      <c r="E15" s="3" t="s">
        <v>755</v>
      </c>
      <c r="F15" s="3" t="s">
        <v>763</v>
      </c>
      <c r="G15" s="3" t="s">
        <v>743</v>
      </c>
      <c r="H15" s="3" t="s">
        <v>750</v>
      </c>
      <c r="I15" s="3" t="s">
        <v>739</v>
      </c>
      <c r="J15" s="3" t="s">
        <v>740</v>
      </c>
      <c r="K15" s="3">
        <v>903</v>
      </c>
      <c r="L15" s="3" t="s">
        <v>30</v>
      </c>
      <c r="M15" s="3">
        <v>6.2E-2</v>
      </c>
      <c r="N15" s="3">
        <v>5.5989999999999998E-2</v>
      </c>
      <c r="O15" s="3">
        <v>7</v>
      </c>
      <c r="P15" s="3">
        <v>19.54</v>
      </c>
      <c r="Q15" s="3">
        <v>0.13678000000000001</v>
      </c>
      <c r="R15" s="3">
        <v>0.19277</v>
      </c>
      <c r="S15" s="3" t="s">
        <v>771</v>
      </c>
      <c r="T15" s="3" t="s">
        <v>736</v>
      </c>
    </row>
    <row r="16" spans="1:20" x14ac:dyDescent="0.25">
      <c r="A16" s="2">
        <v>13</v>
      </c>
      <c r="B16" s="2">
        <v>2023</v>
      </c>
      <c r="C16" s="2" t="s">
        <v>22</v>
      </c>
      <c r="D16" s="2" t="s">
        <v>772</v>
      </c>
      <c r="E16" s="2" t="s">
        <v>742</v>
      </c>
      <c r="F16" s="2" t="s">
        <v>726</v>
      </c>
      <c r="G16" s="2" t="s">
        <v>33</v>
      </c>
      <c r="H16" s="2" t="s">
        <v>760</v>
      </c>
      <c r="I16" s="2" t="s">
        <v>751</v>
      </c>
      <c r="J16" s="2" t="s">
        <v>752</v>
      </c>
      <c r="K16" s="2">
        <v>4648.3</v>
      </c>
      <c r="L16" s="2" t="s">
        <v>30</v>
      </c>
      <c r="M16" s="2">
        <v>0.58499999999999996</v>
      </c>
      <c r="N16" s="2">
        <v>2.7192599999999998</v>
      </c>
      <c r="O16" s="2">
        <v>7</v>
      </c>
      <c r="P16" s="2">
        <v>21.18</v>
      </c>
      <c r="Q16" s="2">
        <v>0.14826</v>
      </c>
      <c r="R16" s="2">
        <v>2.8675199999999998</v>
      </c>
      <c r="S16" s="2" t="s">
        <v>773</v>
      </c>
      <c r="T16" s="2" t="s">
        <v>730</v>
      </c>
    </row>
    <row r="17" spans="1:20" x14ac:dyDescent="0.25">
      <c r="A17" s="3">
        <v>14</v>
      </c>
      <c r="B17" s="3">
        <v>2023</v>
      </c>
      <c r="C17" s="3" t="s">
        <v>32</v>
      </c>
      <c r="D17" s="3" t="s">
        <v>774</v>
      </c>
      <c r="E17" s="3" t="s">
        <v>725</v>
      </c>
      <c r="F17" s="3" t="s">
        <v>726</v>
      </c>
      <c r="G17" s="3" t="s">
        <v>756</v>
      </c>
      <c r="H17" s="3" t="s">
        <v>732</v>
      </c>
      <c r="I17" s="3" t="s">
        <v>739</v>
      </c>
      <c r="J17" s="3" t="s">
        <v>740</v>
      </c>
      <c r="K17" s="3">
        <v>8193.2000000000007</v>
      </c>
      <c r="L17" s="3" t="s">
        <v>30</v>
      </c>
      <c r="M17" s="3">
        <v>6.2E-2</v>
      </c>
      <c r="N17" s="3">
        <v>0.50797999999999999</v>
      </c>
      <c r="O17" s="3">
        <v>4</v>
      </c>
      <c r="P17" s="3">
        <v>38.409999999999997</v>
      </c>
      <c r="Q17" s="3">
        <v>0.15364</v>
      </c>
      <c r="R17" s="3">
        <v>0.66161999999999999</v>
      </c>
      <c r="S17" s="3" t="s">
        <v>771</v>
      </c>
      <c r="T17" s="3" t="s">
        <v>730</v>
      </c>
    </row>
    <row r="18" spans="1:20" ht="24" x14ac:dyDescent="0.25">
      <c r="A18" s="2">
        <v>15</v>
      </c>
      <c r="B18" s="2">
        <v>2023</v>
      </c>
      <c r="C18" s="2" t="s">
        <v>39</v>
      </c>
      <c r="D18" s="2" t="s">
        <v>775</v>
      </c>
      <c r="E18" s="2" t="s">
        <v>742</v>
      </c>
      <c r="F18" s="2" t="s">
        <v>726</v>
      </c>
      <c r="G18" s="2" t="s">
        <v>743</v>
      </c>
      <c r="H18" s="2" t="s">
        <v>756</v>
      </c>
      <c r="I18" s="2" t="s">
        <v>734</v>
      </c>
      <c r="J18" s="2" t="s">
        <v>728</v>
      </c>
      <c r="K18" s="2">
        <v>7680.3</v>
      </c>
      <c r="L18" s="2" t="s">
        <v>30</v>
      </c>
      <c r="M18" s="2">
        <v>8.8999999999999996E-2</v>
      </c>
      <c r="N18" s="2">
        <v>0.68354999999999999</v>
      </c>
      <c r="O18" s="2">
        <v>3</v>
      </c>
      <c r="P18" s="2">
        <v>24.01</v>
      </c>
      <c r="Q18" s="2">
        <v>7.2029999999999997E-2</v>
      </c>
      <c r="R18" s="2">
        <v>0.75558000000000003</v>
      </c>
      <c r="S18" s="2" t="s">
        <v>771</v>
      </c>
      <c r="T18" s="2" t="s">
        <v>757</v>
      </c>
    </row>
    <row r="19" spans="1:20" ht="24" x14ac:dyDescent="0.25">
      <c r="A19" s="3">
        <v>16</v>
      </c>
      <c r="B19" s="3">
        <v>2023</v>
      </c>
      <c r="C19" s="3" t="s">
        <v>46</v>
      </c>
      <c r="D19" s="3" t="s">
        <v>776</v>
      </c>
      <c r="E19" s="3" t="s">
        <v>777</v>
      </c>
      <c r="F19" s="3" t="s">
        <v>726</v>
      </c>
      <c r="G19" s="3" t="s">
        <v>750</v>
      </c>
      <c r="H19" s="3" t="s">
        <v>778</v>
      </c>
      <c r="I19" s="3" t="s">
        <v>739</v>
      </c>
      <c r="J19" s="3" t="s">
        <v>740</v>
      </c>
      <c r="K19" s="3">
        <v>3927.9</v>
      </c>
      <c r="L19" s="3" t="s">
        <v>30</v>
      </c>
      <c r="M19" s="3">
        <v>6.2E-2</v>
      </c>
      <c r="N19" s="3">
        <v>0.24353</v>
      </c>
      <c r="O19" s="3">
        <v>2</v>
      </c>
      <c r="P19" s="3">
        <v>34.86</v>
      </c>
      <c r="Q19" s="3">
        <v>6.9720000000000004E-2</v>
      </c>
      <c r="R19" s="3">
        <v>0.31324999999999997</v>
      </c>
      <c r="S19" s="3" t="s">
        <v>769</v>
      </c>
      <c r="T19" s="3" t="s">
        <v>757</v>
      </c>
    </row>
    <row r="20" spans="1:20" x14ac:dyDescent="0.25">
      <c r="A20" s="2">
        <v>17</v>
      </c>
      <c r="B20" s="2">
        <v>2023</v>
      </c>
      <c r="C20" s="2" t="s">
        <v>22</v>
      </c>
      <c r="D20" s="2" t="s">
        <v>779</v>
      </c>
      <c r="E20" s="2" t="s">
        <v>777</v>
      </c>
      <c r="F20" s="2" t="s">
        <v>726</v>
      </c>
      <c r="G20" s="2" t="s">
        <v>33</v>
      </c>
      <c r="H20" s="2" t="s">
        <v>764</v>
      </c>
      <c r="I20" s="2" t="s">
        <v>734</v>
      </c>
      <c r="J20" s="2" t="s">
        <v>728</v>
      </c>
      <c r="K20" s="2">
        <v>8276.5</v>
      </c>
      <c r="L20" s="2" t="s">
        <v>38</v>
      </c>
      <c r="M20" s="2">
        <v>8.8999999999999996E-2</v>
      </c>
      <c r="N20" s="2">
        <v>0.73660999999999999</v>
      </c>
      <c r="O20" s="2">
        <v>2</v>
      </c>
      <c r="P20" s="2">
        <v>24.28</v>
      </c>
      <c r="Q20" s="2">
        <v>4.8559999999999999E-2</v>
      </c>
      <c r="R20" s="2">
        <v>0.78517000000000003</v>
      </c>
      <c r="S20" s="2" t="s">
        <v>771</v>
      </c>
      <c r="T20" s="2" t="s">
        <v>736</v>
      </c>
    </row>
    <row r="21" spans="1:20" x14ac:dyDescent="0.25">
      <c r="A21" s="3">
        <v>18</v>
      </c>
      <c r="B21" s="3">
        <v>2023</v>
      </c>
      <c r="C21" s="3" t="s">
        <v>32</v>
      </c>
      <c r="D21" s="3" t="s">
        <v>780</v>
      </c>
      <c r="E21" s="3" t="s">
        <v>725</v>
      </c>
      <c r="F21" s="3" t="s">
        <v>726</v>
      </c>
      <c r="G21" s="3" t="s">
        <v>732</v>
      </c>
      <c r="H21" s="3" t="s">
        <v>733</v>
      </c>
      <c r="I21" s="3" t="s">
        <v>744</v>
      </c>
      <c r="J21" s="3" t="s">
        <v>740</v>
      </c>
      <c r="K21" s="3">
        <v>11173.6</v>
      </c>
      <c r="L21" s="3" t="s">
        <v>30</v>
      </c>
      <c r="M21" s="3">
        <v>0.192</v>
      </c>
      <c r="N21" s="3">
        <v>2.14533</v>
      </c>
      <c r="O21" s="3">
        <v>0</v>
      </c>
      <c r="P21" s="3">
        <v>16.489999999999998</v>
      </c>
      <c r="Q21" s="3">
        <v>0</v>
      </c>
      <c r="R21" s="3">
        <v>2.14533</v>
      </c>
      <c r="S21" s="3" t="s">
        <v>781</v>
      </c>
      <c r="T21" s="3" t="s">
        <v>730</v>
      </c>
    </row>
    <row r="22" spans="1:20" x14ac:dyDescent="0.25">
      <c r="A22" s="2">
        <v>19</v>
      </c>
      <c r="B22" s="2">
        <v>2023</v>
      </c>
      <c r="C22" s="2" t="s">
        <v>39</v>
      </c>
      <c r="D22" s="2" t="s">
        <v>782</v>
      </c>
      <c r="E22" s="2" t="s">
        <v>738</v>
      </c>
      <c r="F22" s="2" t="s">
        <v>726</v>
      </c>
      <c r="G22" s="2" t="s">
        <v>732</v>
      </c>
      <c r="H22" s="2" t="s">
        <v>33</v>
      </c>
      <c r="I22" s="2" t="s">
        <v>751</v>
      </c>
      <c r="J22" s="2" t="s">
        <v>752</v>
      </c>
      <c r="K22" s="2">
        <v>3835</v>
      </c>
      <c r="L22" s="2" t="s">
        <v>30</v>
      </c>
      <c r="M22" s="2">
        <v>0.58499999999999996</v>
      </c>
      <c r="N22" s="2">
        <v>2.2434799999999999</v>
      </c>
      <c r="O22" s="2">
        <v>5</v>
      </c>
      <c r="P22" s="2">
        <v>35.14</v>
      </c>
      <c r="Q22" s="2">
        <v>0.1757</v>
      </c>
      <c r="R22" s="2">
        <v>2.4191799999999999</v>
      </c>
      <c r="S22" s="2" t="s">
        <v>753</v>
      </c>
      <c r="T22" s="2" t="s">
        <v>730</v>
      </c>
    </row>
    <row r="23" spans="1:20" x14ac:dyDescent="0.25">
      <c r="A23" s="3">
        <v>20</v>
      </c>
      <c r="B23" s="3">
        <v>2023</v>
      </c>
      <c r="C23" s="3" t="s">
        <v>46</v>
      </c>
      <c r="D23" s="3" t="s">
        <v>783</v>
      </c>
      <c r="E23" s="3" t="s">
        <v>738</v>
      </c>
      <c r="F23" s="3" t="s">
        <v>726</v>
      </c>
      <c r="G23" s="3" t="s">
        <v>733</v>
      </c>
      <c r="H23" s="3" t="s">
        <v>746</v>
      </c>
      <c r="I23" s="3" t="s">
        <v>751</v>
      </c>
      <c r="J23" s="3" t="s">
        <v>728</v>
      </c>
      <c r="K23" s="3">
        <v>3045.8</v>
      </c>
      <c r="L23" s="3" t="s">
        <v>38</v>
      </c>
      <c r="M23" s="3">
        <v>0.19500000000000001</v>
      </c>
      <c r="N23" s="3">
        <v>0.59392999999999996</v>
      </c>
      <c r="O23" s="3">
        <v>0</v>
      </c>
      <c r="P23" s="3">
        <v>27.13</v>
      </c>
      <c r="Q23" s="3">
        <v>0</v>
      </c>
      <c r="R23" s="3">
        <v>0.59392999999999996</v>
      </c>
      <c r="S23" s="3" t="s">
        <v>773</v>
      </c>
      <c r="T23" s="3" t="s">
        <v>736</v>
      </c>
    </row>
    <row r="24" spans="1:20" x14ac:dyDescent="0.25">
      <c r="A24" s="2">
        <v>21</v>
      </c>
      <c r="B24" s="2">
        <v>2023</v>
      </c>
      <c r="C24" s="2" t="s">
        <v>22</v>
      </c>
      <c r="D24" s="2" t="s">
        <v>784</v>
      </c>
      <c r="E24" s="2" t="s">
        <v>755</v>
      </c>
      <c r="F24" s="2" t="s">
        <v>726</v>
      </c>
      <c r="G24" s="2" t="s">
        <v>743</v>
      </c>
      <c r="H24" s="2" t="s">
        <v>743</v>
      </c>
      <c r="I24" s="2" t="s">
        <v>751</v>
      </c>
      <c r="J24" s="2" t="s">
        <v>728</v>
      </c>
      <c r="K24" s="2">
        <v>6546.3</v>
      </c>
      <c r="L24" s="2" t="s">
        <v>30</v>
      </c>
      <c r="M24" s="2">
        <v>0.19500000000000001</v>
      </c>
      <c r="N24" s="2">
        <v>1.2765299999999999</v>
      </c>
      <c r="O24" s="2">
        <v>5</v>
      </c>
      <c r="P24" s="2">
        <v>33.31</v>
      </c>
      <c r="Q24" s="2">
        <v>0.16655</v>
      </c>
      <c r="R24" s="2">
        <v>1.4430799999999999</v>
      </c>
      <c r="S24" s="2" t="s">
        <v>771</v>
      </c>
      <c r="T24" s="2" t="s">
        <v>736</v>
      </c>
    </row>
    <row r="25" spans="1:20" ht="24" x14ac:dyDescent="0.25">
      <c r="A25" s="3">
        <v>22</v>
      </c>
      <c r="B25" s="3">
        <v>2023</v>
      </c>
      <c r="C25" s="3" t="s">
        <v>32</v>
      </c>
      <c r="D25" s="3" t="s">
        <v>785</v>
      </c>
      <c r="E25" s="3" t="s">
        <v>738</v>
      </c>
      <c r="F25" s="3" t="s">
        <v>726</v>
      </c>
      <c r="G25" s="3" t="s">
        <v>727</v>
      </c>
      <c r="H25" s="3" t="s">
        <v>778</v>
      </c>
      <c r="I25" s="3" t="s">
        <v>751</v>
      </c>
      <c r="J25" s="3" t="s">
        <v>728</v>
      </c>
      <c r="K25" s="3">
        <v>5420.1</v>
      </c>
      <c r="L25" s="3" t="s">
        <v>38</v>
      </c>
      <c r="M25" s="3">
        <v>0.19500000000000001</v>
      </c>
      <c r="N25" s="3">
        <v>1.0569200000000001</v>
      </c>
      <c r="O25" s="3">
        <v>4</v>
      </c>
      <c r="P25" s="3">
        <v>28.54</v>
      </c>
      <c r="Q25" s="3">
        <v>0.11416</v>
      </c>
      <c r="R25" s="3">
        <v>1.1710799999999999</v>
      </c>
      <c r="S25" s="3" t="s">
        <v>781</v>
      </c>
      <c r="T25" s="3" t="s">
        <v>757</v>
      </c>
    </row>
    <row r="26" spans="1:20" x14ac:dyDescent="0.25">
      <c r="A26" s="2">
        <v>23</v>
      </c>
      <c r="B26" s="2">
        <v>2023</v>
      </c>
      <c r="C26" s="2" t="s">
        <v>39</v>
      </c>
      <c r="D26" s="2" t="s">
        <v>786</v>
      </c>
      <c r="E26" s="2" t="s">
        <v>777</v>
      </c>
      <c r="F26" s="2" t="s">
        <v>726</v>
      </c>
      <c r="G26" s="2" t="s">
        <v>756</v>
      </c>
      <c r="H26" s="2" t="s">
        <v>733</v>
      </c>
      <c r="I26" s="2" t="s">
        <v>744</v>
      </c>
      <c r="J26" s="2" t="s">
        <v>740</v>
      </c>
      <c r="K26" s="2">
        <v>9323.4</v>
      </c>
      <c r="L26" s="2" t="s">
        <v>38</v>
      </c>
      <c r="M26" s="2">
        <v>0.192</v>
      </c>
      <c r="N26" s="2">
        <v>1.79009</v>
      </c>
      <c r="O26" s="2">
        <v>3</v>
      </c>
      <c r="P26" s="2">
        <v>23.02</v>
      </c>
      <c r="Q26" s="2">
        <v>6.9059999999999996E-2</v>
      </c>
      <c r="R26" s="2">
        <v>1.8591500000000001</v>
      </c>
      <c r="S26" s="2" t="s">
        <v>773</v>
      </c>
      <c r="T26" s="2" t="s">
        <v>736</v>
      </c>
    </row>
    <row r="27" spans="1:20" ht="24" x14ac:dyDescent="0.25">
      <c r="A27" s="3">
        <v>24</v>
      </c>
      <c r="B27" s="3">
        <v>2023</v>
      </c>
      <c r="C27" s="3" t="s">
        <v>46</v>
      </c>
      <c r="D27" s="3" t="s">
        <v>787</v>
      </c>
      <c r="E27" s="3" t="s">
        <v>788</v>
      </c>
      <c r="F27" s="3" t="s">
        <v>726</v>
      </c>
      <c r="G27" s="3" t="s">
        <v>750</v>
      </c>
      <c r="H27" s="3" t="s">
        <v>756</v>
      </c>
      <c r="I27" s="3" t="s">
        <v>734</v>
      </c>
      <c r="J27" s="3" t="s">
        <v>728</v>
      </c>
      <c r="K27" s="3">
        <v>9200.5</v>
      </c>
      <c r="L27" s="3" t="s">
        <v>38</v>
      </c>
      <c r="M27" s="3">
        <v>8.8999999999999996E-2</v>
      </c>
      <c r="N27" s="3">
        <v>0.81884000000000001</v>
      </c>
      <c r="O27" s="3">
        <v>2</v>
      </c>
      <c r="P27" s="3">
        <v>30.33</v>
      </c>
      <c r="Q27" s="3">
        <v>6.0659999999999999E-2</v>
      </c>
      <c r="R27" s="3">
        <v>0.87949999999999995</v>
      </c>
      <c r="S27" s="3" t="s">
        <v>771</v>
      </c>
      <c r="T27" s="3" t="s">
        <v>757</v>
      </c>
    </row>
    <row r="28" spans="1:20" ht="24" x14ac:dyDescent="0.25">
      <c r="A28" s="2">
        <v>25</v>
      </c>
      <c r="B28" s="2">
        <v>2023</v>
      </c>
      <c r="C28" s="2" t="s">
        <v>22</v>
      </c>
      <c r="D28" s="2" t="s">
        <v>789</v>
      </c>
      <c r="E28" s="2" t="s">
        <v>725</v>
      </c>
      <c r="F28" s="2" t="s">
        <v>726</v>
      </c>
      <c r="G28" s="2" t="s">
        <v>764</v>
      </c>
      <c r="H28" s="2" t="s">
        <v>743</v>
      </c>
      <c r="I28" s="2" t="s">
        <v>790</v>
      </c>
      <c r="J28" s="2" t="s">
        <v>740</v>
      </c>
      <c r="K28" s="2">
        <v>7923.7</v>
      </c>
      <c r="L28" s="2" t="s">
        <v>30</v>
      </c>
      <c r="M28" s="2">
        <v>0.21</v>
      </c>
      <c r="N28" s="2">
        <v>1.66398</v>
      </c>
      <c r="O28" s="2">
        <v>0</v>
      </c>
      <c r="P28" s="2">
        <v>35.880000000000003</v>
      </c>
      <c r="Q28" s="2">
        <v>0</v>
      </c>
      <c r="R28" s="2">
        <v>1.66398</v>
      </c>
      <c r="S28" s="2" t="s">
        <v>773</v>
      </c>
      <c r="T28" s="2" t="s">
        <v>757</v>
      </c>
    </row>
    <row r="29" spans="1:20" x14ac:dyDescent="0.25">
      <c r="A29" s="3">
        <v>26</v>
      </c>
      <c r="B29" s="3">
        <v>2023</v>
      </c>
      <c r="C29" s="3" t="s">
        <v>32</v>
      </c>
      <c r="D29" s="3" t="s">
        <v>791</v>
      </c>
      <c r="E29" s="3" t="s">
        <v>749</v>
      </c>
      <c r="F29" s="3" t="s">
        <v>726</v>
      </c>
      <c r="G29" s="3" t="s">
        <v>756</v>
      </c>
      <c r="H29" s="3" t="s">
        <v>760</v>
      </c>
      <c r="I29" s="3" t="s">
        <v>734</v>
      </c>
      <c r="J29" s="3" t="s">
        <v>728</v>
      </c>
      <c r="K29" s="3">
        <v>2339.8000000000002</v>
      </c>
      <c r="L29" s="3" t="s">
        <v>38</v>
      </c>
      <c r="M29" s="3">
        <v>8.8999999999999996E-2</v>
      </c>
      <c r="N29" s="3">
        <v>0.20824000000000001</v>
      </c>
      <c r="O29" s="3">
        <v>0</v>
      </c>
      <c r="P29" s="3">
        <v>29.28</v>
      </c>
      <c r="Q29" s="3">
        <v>0</v>
      </c>
      <c r="R29" s="3">
        <v>0.20824000000000001</v>
      </c>
      <c r="S29" s="3" t="s">
        <v>769</v>
      </c>
      <c r="T29" s="3" t="s">
        <v>730</v>
      </c>
    </row>
    <row r="30" spans="1:20" x14ac:dyDescent="0.25">
      <c r="A30" s="2">
        <v>27</v>
      </c>
      <c r="B30" s="2">
        <v>2023</v>
      </c>
      <c r="C30" s="2" t="s">
        <v>39</v>
      </c>
      <c r="D30" s="2" t="s">
        <v>792</v>
      </c>
      <c r="E30" s="2" t="s">
        <v>793</v>
      </c>
      <c r="F30" s="2" t="s">
        <v>726</v>
      </c>
      <c r="G30" s="2" t="s">
        <v>756</v>
      </c>
      <c r="H30" s="2" t="s">
        <v>760</v>
      </c>
      <c r="I30" s="2" t="s">
        <v>751</v>
      </c>
      <c r="J30" s="2" t="s">
        <v>752</v>
      </c>
      <c r="K30" s="2">
        <v>7291.1</v>
      </c>
      <c r="L30" s="2" t="s">
        <v>30</v>
      </c>
      <c r="M30" s="2">
        <v>0.58499999999999996</v>
      </c>
      <c r="N30" s="2">
        <v>4.2652900000000002</v>
      </c>
      <c r="O30" s="2">
        <v>1</v>
      </c>
      <c r="P30" s="2">
        <v>15.33</v>
      </c>
      <c r="Q30" s="2">
        <v>1.533E-2</v>
      </c>
      <c r="R30" s="2">
        <v>4.2806199999999999</v>
      </c>
      <c r="S30" s="2" t="s">
        <v>735</v>
      </c>
      <c r="T30" s="2" t="s">
        <v>736</v>
      </c>
    </row>
    <row r="31" spans="1:20" x14ac:dyDescent="0.25">
      <c r="A31" s="3">
        <v>28</v>
      </c>
      <c r="B31" s="3">
        <v>2023</v>
      </c>
      <c r="C31" s="3" t="s">
        <v>46</v>
      </c>
      <c r="D31" s="3" t="s">
        <v>794</v>
      </c>
      <c r="E31" s="3" t="s">
        <v>742</v>
      </c>
      <c r="F31" s="3" t="s">
        <v>726</v>
      </c>
      <c r="G31" s="3" t="s">
        <v>743</v>
      </c>
      <c r="H31" s="3" t="s">
        <v>759</v>
      </c>
      <c r="I31" s="3" t="s">
        <v>761</v>
      </c>
      <c r="J31" s="3" t="s">
        <v>728</v>
      </c>
      <c r="K31" s="3">
        <v>4363.1000000000004</v>
      </c>
      <c r="L31" s="3" t="s">
        <v>38</v>
      </c>
      <c r="M31" s="3">
        <v>0.255</v>
      </c>
      <c r="N31" s="3">
        <v>1.11259</v>
      </c>
      <c r="O31" s="3">
        <v>6</v>
      </c>
      <c r="P31" s="3">
        <v>35.549999999999997</v>
      </c>
      <c r="Q31" s="3">
        <v>0.21329999999999999</v>
      </c>
      <c r="R31" s="3">
        <v>1.32589</v>
      </c>
      <c r="S31" s="3" t="s">
        <v>769</v>
      </c>
      <c r="T31" s="3" t="s">
        <v>736</v>
      </c>
    </row>
    <row r="32" spans="1:20" ht="24" x14ac:dyDescent="0.25">
      <c r="A32" s="2">
        <v>29</v>
      </c>
      <c r="B32" s="2">
        <v>2023</v>
      </c>
      <c r="C32" s="2" t="s">
        <v>22</v>
      </c>
      <c r="D32" s="2" t="s">
        <v>795</v>
      </c>
      <c r="E32" s="2" t="s">
        <v>777</v>
      </c>
      <c r="F32" s="2" t="s">
        <v>726</v>
      </c>
      <c r="G32" s="2" t="s">
        <v>765</v>
      </c>
      <c r="H32" s="2" t="s">
        <v>732</v>
      </c>
      <c r="I32" s="2" t="s">
        <v>761</v>
      </c>
      <c r="J32" s="2" t="s">
        <v>752</v>
      </c>
      <c r="K32" s="2">
        <v>10021.799999999999</v>
      </c>
      <c r="L32" s="2" t="s">
        <v>30</v>
      </c>
      <c r="M32" s="2">
        <v>0.51</v>
      </c>
      <c r="N32" s="2">
        <v>5.1111199999999997</v>
      </c>
      <c r="O32" s="2">
        <v>1</v>
      </c>
      <c r="P32" s="2">
        <v>38.619999999999997</v>
      </c>
      <c r="Q32" s="2">
        <v>3.8620000000000002E-2</v>
      </c>
      <c r="R32" s="2">
        <v>5.1497400000000004</v>
      </c>
      <c r="S32" s="2" t="s">
        <v>753</v>
      </c>
      <c r="T32" s="2" t="s">
        <v>757</v>
      </c>
    </row>
    <row r="33" spans="1:20" x14ac:dyDescent="0.25">
      <c r="A33" s="3">
        <v>30</v>
      </c>
      <c r="B33" s="3">
        <v>2023</v>
      </c>
      <c r="C33" s="3" t="s">
        <v>32</v>
      </c>
      <c r="D33" s="3" t="s">
        <v>796</v>
      </c>
      <c r="E33" s="3" t="s">
        <v>725</v>
      </c>
      <c r="F33" s="3" t="s">
        <v>726</v>
      </c>
      <c r="G33" s="3" t="s">
        <v>733</v>
      </c>
      <c r="H33" s="3" t="s">
        <v>732</v>
      </c>
      <c r="I33" s="3" t="s">
        <v>751</v>
      </c>
      <c r="J33" s="3" t="s">
        <v>752</v>
      </c>
      <c r="K33" s="3">
        <v>6338</v>
      </c>
      <c r="L33" s="3" t="s">
        <v>38</v>
      </c>
      <c r="M33" s="3">
        <v>0.58499999999999996</v>
      </c>
      <c r="N33" s="3">
        <v>3.7077300000000002</v>
      </c>
      <c r="O33" s="3">
        <v>3</v>
      </c>
      <c r="P33" s="3">
        <v>29.25</v>
      </c>
      <c r="Q33" s="3">
        <v>8.7749999999999995E-2</v>
      </c>
      <c r="R33" s="3">
        <v>3.79548</v>
      </c>
      <c r="S33" s="3" t="s">
        <v>771</v>
      </c>
      <c r="T33" s="3" t="s">
        <v>736</v>
      </c>
    </row>
    <row r="34" spans="1:20" x14ac:dyDescent="0.25">
      <c r="A34" s="2">
        <v>31</v>
      </c>
      <c r="B34" s="2">
        <v>2023</v>
      </c>
      <c r="C34" s="2" t="s">
        <v>39</v>
      </c>
      <c r="D34" s="2" t="s">
        <v>797</v>
      </c>
      <c r="E34" s="2" t="s">
        <v>725</v>
      </c>
      <c r="F34" s="2" t="s">
        <v>726</v>
      </c>
      <c r="G34" s="2" t="s">
        <v>778</v>
      </c>
      <c r="H34" s="2" t="s">
        <v>764</v>
      </c>
      <c r="I34" s="2" t="s">
        <v>744</v>
      </c>
      <c r="J34" s="2" t="s">
        <v>740</v>
      </c>
      <c r="K34" s="2">
        <v>8110.2</v>
      </c>
      <c r="L34" s="2" t="s">
        <v>38</v>
      </c>
      <c r="M34" s="2">
        <v>0.192</v>
      </c>
      <c r="N34" s="2">
        <v>1.5571600000000001</v>
      </c>
      <c r="O34" s="2">
        <v>6</v>
      </c>
      <c r="P34" s="2">
        <v>37.07</v>
      </c>
      <c r="Q34" s="2">
        <v>0.22242000000000001</v>
      </c>
      <c r="R34" s="2">
        <v>1.7795799999999999</v>
      </c>
      <c r="S34" s="2" t="s">
        <v>729</v>
      </c>
      <c r="T34" s="2" t="s">
        <v>736</v>
      </c>
    </row>
    <row r="35" spans="1:20" x14ac:dyDescent="0.25">
      <c r="A35" s="3">
        <v>32</v>
      </c>
      <c r="B35" s="3">
        <v>2023</v>
      </c>
      <c r="C35" s="3" t="s">
        <v>46</v>
      </c>
      <c r="D35" s="3" t="s">
        <v>798</v>
      </c>
      <c r="E35" s="3" t="s">
        <v>788</v>
      </c>
      <c r="F35" s="3" t="s">
        <v>726</v>
      </c>
      <c r="G35" s="3" t="s">
        <v>733</v>
      </c>
      <c r="H35" s="3" t="s">
        <v>768</v>
      </c>
      <c r="I35" s="3" t="s">
        <v>751</v>
      </c>
      <c r="J35" s="3" t="s">
        <v>728</v>
      </c>
      <c r="K35" s="3">
        <v>6430.1</v>
      </c>
      <c r="L35" s="3" t="s">
        <v>38</v>
      </c>
      <c r="M35" s="3">
        <v>0.19500000000000001</v>
      </c>
      <c r="N35" s="3">
        <v>1.25387</v>
      </c>
      <c r="O35" s="3">
        <v>7</v>
      </c>
      <c r="P35" s="3">
        <v>38.340000000000003</v>
      </c>
      <c r="Q35" s="3">
        <v>0.26838000000000001</v>
      </c>
      <c r="R35" s="3">
        <v>1.5222500000000001</v>
      </c>
      <c r="S35" s="3" t="s">
        <v>753</v>
      </c>
      <c r="T35" s="3" t="s">
        <v>736</v>
      </c>
    </row>
    <row r="36" spans="1:20" x14ac:dyDescent="0.25">
      <c r="A36" s="2">
        <v>33</v>
      </c>
      <c r="B36" s="2">
        <v>2023</v>
      </c>
      <c r="C36" s="2" t="s">
        <v>22</v>
      </c>
      <c r="D36" s="2" t="s">
        <v>799</v>
      </c>
      <c r="E36" s="2" t="s">
        <v>793</v>
      </c>
      <c r="F36" s="2" t="s">
        <v>726</v>
      </c>
      <c r="G36" s="2" t="s">
        <v>750</v>
      </c>
      <c r="H36" s="2" t="s">
        <v>778</v>
      </c>
      <c r="I36" s="2" t="s">
        <v>739</v>
      </c>
      <c r="J36" s="2" t="s">
        <v>740</v>
      </c>
      <c r="K36" s="2">
        <v>9922.6</v>
      </c>
      <c r="L36" s="2" t="s">
        <v>38</v>
      </c>
      <c r="M36" s="2">
        <v>6.2E-2</v>
      </c>
      <c r="N36" s="2">
        <v>0.61519999999999997</v>
      </c>
      <c r="O36" s="2">
        <v>5</v>
      </c>
      <c r="P36" s="2">
        <v>30.21</v>
      </c>
      <c r="Q36" s="2">
        <v>0.15104999999999999</v>
      </c>
      <c r="R36" s="2">
        <v>0.76624999999999999</v>
      </c>
      <c r="S36" s="2" t="s">
        <v>729</v>
      </c>
      <c r="T36" s="2" t="s">
        <v>730</v>
      </c>
    </row>
    <row r="37" spans="1:20" ht="24" x14ac:dyDescent="0.25">
      <c r="A37" s="3">
        <v>34</v>
      </c>
      <c r="B37" s="3">
        <v>2023</v>
      </c>
      <c r="C37" s="3" t="s">
        <v>32</v>
      </c>
      <c r="D37" s="3" t="s">
        <v>800</v>
      </c>
      <c r="E37" s="3" t="s">
        <v>755</v>
      </c>
      <c r="F37" s="3" t="s">
        <v>726</v>
      </c>
      <c r="G37" s="3" t="s">
        <v>759</v>
      </c>
      <c r="H37" s="3" t="s">
        <v>727</v>
      </c>
      <c r="I37" s="3" t="s">
        <v>734</v>
      </c>
      <c r="J37" s="3" t="s">
        <v>728</v>
      </c>
      <c r="K37" s="3">
        <v>11519.9</v>
      </c>
      <c r="L37" s="3" t="s">
        <v>30</v>
      </c>
      <c r="M37" s="3">
        <v>8.8999999999999996E-2</v>
      </c>
      <c r="N37" s="3">
        <v>1.0252699999999999</v>
      </c>
      <c r="O37" s="3">
        <v>0</v>
      </c>
      <c r="P37" s="3">
        <v>33.159999999999997</v>
      </c>
      <c r="Q37" s="3">
        <v>0</v>
      </c>
      <c r="R37" s="3">
        <v>1.0252699999999999</v>
      </c>
      <c r="S37" s="3" t="s">
        <v>747</v>
      </c>
      <c r="T37" s="3" t="s">
        <v>757</v>
      </c>
    </row>
    <row r="38" spans="1:20" ht="24" x14ac:dyDescent="0.25">
      <c r="A38" s="2">
        <v>35</v>
      </c>
      <c r="B38" s="2">
        <v>2023</v>
      </c>
      <c r="C38" s="2" t="s">
        <v>39</v>
      </c>
      <c r="D38" s="2" t="s">
        <v>801</v>
      </c>
      <c r="E38" s="2" t="s">
        <v>742</v>
      </c>
      <c r="F38" s="2" t="s">
        <v>726</v>
      </c>
      <c r="G38" s="2" t="s">
        <v>778</v>
      </c>
      <c r="H38" s="2" t="s">
        <v>743</v>
      </c>
      <c r="I38" s="2" t="s">
        <v>548</v>
      </c>
      <c r="J38" s="2" t="s">
        <v>728</v>
      </c>
      <c r="K38" s="2">
        <v>11813.5</v>
      </c>
      <c r="L38" s="2" t="s">
        <v>38</v>
      </c>
      <c r="M38" s="2">
        <v>4.1000000000000002E-2</v>
      </c>
      <c r="N38" s="2">
        <v>0.48435</v>
      </c>
      <c r="O38" s="2">
        <v>3</v>
      </c>
      <c r="P38" s="2">
        <v>36.39</v>
      </c>
      <c r="Q38" s="2">
        <v>0.10917</v>
      </c>
      <c r="R38" s="2">
        <v>0.59352000000000005</v>
      </c>
      <c r="S38" s="2" t="s">
        <v>781</v>
      </c>
      <c r="T38" s="2" t="s">
        <v>757</v>
      </c>
    </row>
    <row r="39" spans="1:20" x14ac:dyDescent="0.25">
      <c r="A39" s="3">
        <v>36</v>
      </c>
      <c r="B39" s="3">
        <v>2023</v>
      </c>
      <c r="C39" s="3" t="s">
        <v>46</v>
      </c>
      <c r="D39" s="3" t="s">
        <v>802</v>
      </c>
      <c r="E39" s="3" t="s">
        <v>788</v>
      </c>
      <c r="F39" s="3" t="s">
        <v>726</v>
      </c>
      <c r="G39" s="3" t="s">
        <v>803</v>
      </c>
      <c r="H39" s="3" t="s">
        <v>759</v>
      </c>
      <c r="I39" s="3" t="s">
        <v>761</v>
      </c>
      <c r="J39" s="3" t="s">
        <v>728</v>
      </c>
      <c r="K39" s="3">
        <v>5551.4</v>
      </c>
      <c r="L39" s="3" t="s">
        <v>30</v>
      </c>
      <c r="M39" s="3">
        <v>0.255</v>
      </c>
      <c r="N39" s="3">
        <v>1.41561</v>
      </c>
      <c r="O39" s="3">
        <v>2</v>
      </c>
      <c r="P39" s="3">
        <v>18.46</v>
      </c>
      <c r="Q39" s="3">
        <v>3.6920000000000001E-2</v>
      </c>
      <c r="R39" s="3">
        <v>1.4525300000000001</v>
      </c>
      <c r="S39" s="3" t="s">
        <v>773</v>
      </c>
      <c r="T39" s="3" t="s">
        <v>730</v>
      </c>
    </row>
    <row r="40" spans="1:20" ht="24" x14ac:dyDescent="0.25">
      <c r="A40" s="2">
        <v>37</v>
      </c>
      <c r="B40" s="2">
        <v>2023</v>
      </c>
      <c r="C40" s="2" t="s">
        <v>22</v>
      </c>
      <c r="D40" s="2" t="s">
        <v>804</v>
      </c>
      <c r="E40" s="2" t="s">
        <v>793</v>
      </c>
      <c r="F40" s="2" t="s">
        <v>726</v>
      </c>
      <c r="G40" s="2" t="s">
        <v>732</v>
      </c>
      <c r="H40" s="2" t="s">
        <v>765</v>
      </c>
      <c r="I40" s="2" t="s">
        <v>548</v>
      </c>
      <c r="J40" s="2" t="s">
        <v>728</v>
      </c>
      <c r="K40" s="2">
        <v>1148.3</v>
      </c>
      <c r="L40" s="2" t="s">
        <v>38</v>
      </c>
      <c r="M40" s="2">
        <v>4.1000000000000002E-2</v>
      </c>
      <c r="N40" s="2">
        <v>4.7079999999999997E-2</v>
      </c>
      <c r="O40" s="2">
        <v>6</v>
      </c>
      <c r="P40" s="2">
        <v>29.23</v>
      </c>
      <c r="Q40" s="2">
        <v>0.17538000000000001</v>
      </c>
      <c r="R40" s="2">
        <v>0.22245999999999999</v>
      </c>
      <c r="S40" s="2" t="s">
        <v>735</v>
      </c>
      <c r="T40" s="2" t="s">
        <v>757</v>
      </c>
    </row>
    <row r="41" spans="1:20" ht="24" x14ac:dyDescent="0.25">
      <c r="A41" s="3">
        <v>38</v>
      </c>
      <c r="B41" s="3">
        <v>2023</v>
      </c>
      <c r="C41" s="3" t="s">
        <v>32</v>
      </c>
      <c r="D41" s="3" t="s">
        <v>805</v>
      </c>
      <c r="E41" s="3" t="s">
        <v>755</v>
      </c>
      <c r="F41" s="3" t="s">
        <v>726</v>
      </c>
      <c r="G41" s="3" t="s">
        <v>727</v>
      </c>
      <c r="H41" s="3" t="s">
        <v>732</v>
      </c>
      <c r="I41" s="3" t="s">
        <v>734</v>
      </c>
      <c r="J41" s="3" t="s">
        <v>728</v>
      </c>
      <c r="K41" s="3">
        <v>9917.2000000000007</v>
      </c>
      <c r="L41" s="3" t="s">
        <v>38</v>
      </c>
      <c r="M41" s="3">
        <v>8.8999999999999996E-2</v>
      </c>
      <c r="N41" s="3">
        <v>0.88263000000000003</v>
      </c>
      <c r="O41" s="3">
        <v>1</v>
      </c>
      <c r="P41" s="3">
        <v>29.88</v>
      </c>
      <c r="Q41" s="3">
        <v>2.988E-2</v>
      </c>
      <c r="R41" s="3">
        <v>0.91251000000000004</v>
      </c>
      <c r="S41" s="3" t="s">
        <v>771</v>
      </c>
      <c r="T41" s="3" t="s">
        <v>757</v>
      </c>
    </row>
    <row r="42" spans="1:20" x14ac:dyDescent="0.25">
      <c r="A42" s="2">
        <v>39</v>
      </c>
      <c r="B42" s="2">
        <v>2023</v>
      </c>
      <c r="C42" s="2" t="s">
        <v>39</v>
      </c>
      <c r="D42" s="2" t="s">
        <v>806</v>
      </c>
      <c r="E42" s="2" t="s">
        <v>777</v>
      </c>
      <c r="F42" s="2" t="s">
        <v>726</v>
      </c>
      <c r="G42" s="2" t="s">
        <v>743</v>
      </c>
      <c r="H42" s="2" t="s">
        <v>778</v>
      </c>
      <c r="I42" s="2" t="s">
        <v>744</v>
      </c>
      <c r="J42" s="2" t="s">
        <v>740</v>
      </c>
      <c r="K42" s="2">
        <v>4207.8</v>
      </c>
      <c r="L42" s="2" t="s">
        <v>30</v>
      </c>
      <c r="M42" s="2">
        <v>0.192</v>
      </c>
      <c r="N42" s="2">
        <v>0.80789999999999995</v>
      </c>
      <c r="O42" s="2">
        <v>6</v>
      </c>
      <c r="P42" s="2">
        <v>25.41</v>
      </c>
      <c r="Q42" s="2">
        <v>0.15246000000000001</v>
      </c>
      <c r="R42" s="2">
        <v>0.96035999999999999</v>
      </c>
      <c r="S42" s="2" t="s">
        <v>769</v>
      </c>
      <c r="T42" s="2" t="s">
        <v>736</v>
      </c>
    </row>
    <row r="43" spans="1:20" ht="24" x14ac:dyDescent="0.25">
      <c r="A43" s="3">
        <v>40</v>
      </c>
      <c r="B43" s="3">
        <v>2023</v>
      </c>
      <c r="C43" s="3" t="s">
        <v>46</v>
      </c>
      <c r="D43" s="3" t="s">
        <v>807</v>
      </c>
      <c r="E43" s="3" t="s">
        <v>725</v>
      </c>
      <c r="F43" s="3" t="s">
        <v>763</v>
      </c>
      <c r="G43" s="3" t="s">
        <v>768</v>
      </c>
      <c r="H43" s="3" t="s">
        <v>733</v>
      </c>
      <c r="I43" s="3" t="s">
        <v>739</v>
      </c>
      <c r="J43" s="3" t="s">
        <v>740</v>
      </c>
      <c r="K43" s="3">
        <v>696.8</v>
      </c>
      <c r="L43" s="3" t="s">
        <v>30</v>
      </c>
      <c r="M43" s="3">
        <v>6.2E-2</v>
      </c>
      <c r="N43" s="3">
        <v>4.3200000000000002E-2</v>
      </c>
      <c r="O43" s="3">
        <v>0</v>
      </c>
      <c r="P43" s="3">
        <v>22.98</v>
      </c>
      <c r="Q43" s="3">
        <v>0</v>
      </c>
      <c r="R43" s="3">
        <v>4.3200000000000002E-2</v>
      </c>
      <c r="S43" s="3" t="s">
        <v>781</v>
      </c>
      <c r="T43" s="3" t="s">
        <v>757</v>
      </c>
    </row>
    <row r="44" spans="1:20" x14ac:dyDescent="0.25">
      <c r="A44" s="2">
        <v>41</v>
      </c>
      <c r="B44" s="2">
        <v>2023</v>
      </c>
      <c r="C44" s="2" t="s">
        <v>22</v>
      </c>
      <c r="D44" s="2" t="s">
        <v>808</v>
      </c>
      <c r="E44" s="2" t="s">
        <v>755</v>
      </c>
      <c r="F44" s="2" t="s">
        <v>726</v>
      </c>
      <c r="G44" s="2" t="s">
        <v>778</v>
      </c>
      <c r="H44" s="2" t="s">
        <v>750</v>
      </c>
      <c r="I44" s="2" t="s">
        <v>739</v>
      </c>
      <c r="J44" s="2" t="s">
        <v>740</v>
      </c>
      <c r="K44" s="2">
        <v>11653.9</v>
      </c>
      <c r="L44" s="2" t="s">
        <v>30</v>
      </c>
      <c r="M44" s="2">
        <v>6.2E-2</v>
      </c>
      <c r="N44" s="2">
        <v>0.72253999999999996</v>
      </c>
      <c r="O44" s="2">
        <v>1</v>
      </c>
      <c r="P44" s="2">
        <v>20.55</v>
      </c>
      <c r="Q44" s="2">
        <v>2.0549999999999999E-2</v>
      </c>
      <c r="R44" s="2">
        <v>0.74309000000000003</v>
      </c>
      <c r="S44" s="2" t="s">
        <v>781</v>
      </c>
      <c r="T44" s="2" t="s">
        <v>730</v>
      </c>
    </row>
    <row r="45" spans="1:20" ht="24" x14ac:dyDescent="0.25">
      <c r="A45" s="3">
        <v>42</v>
      </c>
      <c r="B45" s="3">
        <v>2023</v>
      </c>
      <c r="C45" s="3" t="s">
        <v>32</v>
      </c>
      <c r="D45" s="3" t="s">
        <v>809</v>
      </c>
      <c r="E45" s="3" t="s">
        <v>755</v>
      </c>
      <c r="F45" s="3" t="s">
        <v>726</v>
      </c>
      <c r="G45" s="3" t="s">
        <v>765</v>
      </c>
      <c r="H45" s="3" t="s">
        <v>750</v>
      </c>
      <c r="I45" s="3" t="s">
        <v>761</v>
      </c>
      <c r="J45" s="3" t="s">
        <v>752</v>
      </c>
      <c r="K45" s="3">
        <v>5736.5</v>
      </c>
      <c r="L45" s="3" t="s">
        <v>38</v>
      </c>
      <c r="M45" s="3">
        <v>0.51</v>
      </c>
      <c r="N45" s="3">
        <v>2.9256199999999999</v>
      </c>
      <c r="O45" s="3">
        <v>0</v>
      </c>
      <c r="P45" s="3">
        <v>28.7</v>
      </c>
      <c r="Q45" s="3">
        <v>0</v>
      </c>
      <c r="R45" s="3">
        <v>2.9256199999999999</v>
      </c>
      <c r="S45" s="3" t="s">
        <v>781</v>
      </c>
      <c r="T45" s="3" t="s">
        <v>757</v>
      </c>
    </row>
    <row r="46" spans="1:20" ht="24" x14ac:dyDescent="0.25">
      <c r="A46" s="2">
        <v>43</v>
      </c>
      <c r="B46" s="2">
        <v>2023</v>
      </c>
      <c r="C46" s="2" t="s">
        <v>39</v>
      </c>
      <c r="D46" s="2" t="s">
        <v>810</v>
      </c>
      <c r="E46" s="2" t="s">
        <v>793</v>
      </c>
      <c r="F46" s="2" t="s">
        <v>726</v>
      </c>
      <c r="G46" s="2" t="s">
        <v>733</v>
      </c>
      <c r="H46" s="2" t="s">
        <v>759</v>
      </c>
      <c r="I46" s="2" t="s">
        <v>734</v>
      </c>
      <c r="J46" s="2" t="s">
        <v>728</v>
      </c>
      <c r="K46" s="2">
        <v>6733.6</v>
      </c>
      <c r="L46" s="2" t="s">
        <v>30</v>
      </c>
      <c r="M46" s="2">
        <v>8.8999999999999996E-2</v>
      </c>
      <c r="N46" s="2">
        <v>0.59928999999999999</v>
      </c>
      <c r="O46" s="2">
        <v>7</v>
      </c>
      <c r="P46" s="2">
        <v>24.88</v>
      </c>
      <c r="Q46" s="2">
        <v>0.17416000000000001</v>
      </c>
      <c r="R46" s="2">
        <v>0.77344999999999997</v>
      </c>
      <c r="S46" s="2" t="s">
        <v>773</v>
      </c>
      <c r="T46" s="2" t="s">
        <v>757</v>
      </c>
    </row>
    <row r="47" spans="1:20" x14ac:dyDescent="0.25">
      <c r="A47" s="3">
        <v>44</v>
      </c>
      <c r="B47" s="3">
        <v>2023</v>
      </c>
      <c r="C47" s="3" t="s">
        <v>46</v>
      </c>
      <c r="D47" s="3" t="s">
        <v>811</v>
      </c>
      <c r="E47" s="3" t="s">
        <v>777</v>
      </c>
      <c r="F47" s="3" t="s">
        <v>726</v>
      </c>
      <c r="G47" s="3" t="s">
        <v>765</v>
      </c>
      <c r="H47" s="3" t="s">
        <v>756</v>
      </c>
      <c r="I47" s="3" t="s">
        <v>548</v>
      </c>
      <c r="J47" s="3" t="s">
        <v>728</v>
      </c>
      <c r="K47" s="3">
        <v>9332.4</v>
      </c>
      <c r="L47" s="3" t="s">
        <v>38</v>
      </c>
      <c r="M47" s="3">
        <v>4.1000000000000002E-2</v>
      </c>
      <c r="N47" s="3">
        <v>0.38263000000000003</v>
      </c>
      <c r="O47" s="3">
        <v>5</v>
      </c>
      <c r="P47" s="3">
        <v>32.119999999999997</v>
      </c>
      <c r="Q47" s="3">
        <v>0.16059999999999999</v>
      </c>
      <c r="R47" s="3">
        <v>0.54322999999999999</v>
      </c>
      <c r="S47" s="3" t="s">
        <v>753</v>
      </c>
      <c r="T47" s="3" t="s">
        <v>730</v>
      </c>
    </row>
    <row r="48" spans="1:20" x14ac:dyDescent="0.25">
      <c r="A48" s="2">
        <v>45</v>
      </c>
      <c r="B48" s="2">
        <v>2023</v>
      </c>
      <c r="C48" s="2" t="s">
        <v>22</v>
      </c>
      <c r="D48" s="2" t="s">
        <v>812</v>
      </c>
      <c r="E48" s="2" t="s">
        <v>742</v>
      </c>
      <c r="F48" s="2" t="s">
        <v>726</v>
      </c>
      <c r="G48" s="2" t="s">
        <v>778</v>
      </c>
      <c r="H48" s="2" t="s">
        <v>746</v>
      </c>
      <c r="I48" s="2" t="s">
        <v>744</v>
      </c>
      <c r="J48" s="2" t="s">
        <v>740</v>
      </c>
      <c r="K48" s="2">
        <v>2326.4</v>
      </c>
      <c r="L48" s="2" t="s">
        <v>30</v>
      </c>
      <c r="M48" s="2">
        <v>0.192</v>
      </c>
      <c r="N48" s="2">
        <v>0.44667000000000001</v>
      </c>
      <c r="O48" s="2">
        <v>5</v>
      </c>
      <c r="P48" s="2">
        <v>29.85</v>
      </c>
      <c r="Q48" s="2">
        <v>0.14924999999999999</v>
      </c>
      <c r="R48" s="2">
        <v>0.59592000000000001</v>
      </c>
      <c r="S48" s="2" t="s">
        <v>729</v>
      </c>
      <c r="T48" s="2" t="s">
        <v>736</v>
      </c>
    </row>
    <row r="49" spans="1:20" x14ac:dyDescent="0.25">
      <c r="A49" s="3">
        <v>46</v>
      </c>
      <c r="B49" s="3">
        <v>2023</v>
      </c>
      <c r="C49" s="3" t="s">
        <v>32</v>
      </c>
      <c r="D49" s="3" t="s">
        <v>813</v>
      </c>
      <c r="E49" s="3" t="s">
        <v>793</v>
      </c>
      <c r="F49" s="3" t="s">
        <v>726</v>
      </c>
      <c r="G49" s="3" t="s">
        <v>33</v>
      </c>
      <c r="H49" s="3" t="s">
        <v>756</v>
      </c>
      <c r="I49" s="3" t="s">
        <v>734</v>
      </c>
      <c r="J49" s="3" t="s">
        <v>728</v>
      </c>
      <c r="K49" s="3">
        <v>7497</v>
      </c>
      <c r="L49" s="3" t="s">
        <v>38</v>
      </c>
      <c r="M49" s="3">
        <v>8.8999999999999996E-2</v>
      </c>
      <c r="N49" s="3">
        <v>0.66722999999999999</v>
      </c>
      <c r="O49" s="3">
        <v>7</v>
      </c>
      <c r="P49" s="3">
        <v>16.12</v>
      </c>
      <c r="Q49" s="3">
        <v>0.11284</v>
      </c>
      <c r="R49" s="3">
        <v>0.78007000000000004</v>
      </c>
      <c r="S49" s="3" t="s">
        <v>781</v>
      </c>
      <c r="T49" s="3" t="s">
        <v>736</v>
      </c>
    </row>
    <row r="50" spans="1:20" x14ac:dyDescent="0.25">
      <c r="A50" s="2">
        <v>47</v>
      </c>
      <c r="B50" s="2">
        <v>2023</v>
      </c>
      <c r="C50" s="2" t="s">
        <v>39</v>
      </c>
      <c r="D50" s="2" t="s">
        <v>814</v>
      </c>
      <c r="E50" s="2" t="s">
        <v>725</v>
      </c>
      <c r="F50" s="2" t="s">
        <v>726</v>
      </c>
      <c r="G50" s="2" t="s">
        <v>743</v>
      </c>
      <c r="H50" s="2" t="s">
        <v>743</v>
      </c>
      <c r="I50" s="2" t="s">
        <v>761</v>
      </c>
      <c r="J50" s="2" t="s">
        <v>752</v>
      </c>
      <c r="K50" s="2">
        <v>1392.8</v>
      </c>
      <c r="L50" s="2" t="s">
        <v>38</v>
      </c>
      <c r="M50" s="2">
        <v>0.51</v>
      </c>
      <c r="N50" s="2">
        <v>0.71033000000000002</v>
      </c>
      <c r="O50" s="2">
        <v>0</v>
      </c>
      <c r="P50" s="2">
        <v>21.08</v>
      </c>
      <c r="Q50" s="2">
        <v>0</v>
      </c>
      <c r="R50" s="2">
        <v>0.71033000000000002</v>
      </c>
      <c r="S50" s="2" t="s">
        <v>769</v>
      </c>
      <c r="T50" s="2" t="s">
        <v>730</v>
      </c>
    </row>
    <row r="51" spans="1:20" x14ac:dyDescent="0.25">
      <c r="A51" s="3">
        <v>48</v>
      </c>
      <c r="B51" s="3">
        <v>2023</v>
      </c>
      <c r="C51" s="3" t="s">
        <v>46</v>
      </c>
      <c r="D51" s="3" t="s">
        <v>815</v>
      </c>
      <c r="E51" s="3" t="s">
        <v>793</v>
      </c>
      <c r="F51" s="3" t="s">
        <v>726</v>
      </c>
      <c r="G51" s="3" t="s">
        <v>732</v>
      </c>
      <c r="H51" s="3" t="s">
        <v>733</v>
      </c>
      <c r="I51" s="3" t="s">
        <v>761</v>
      </c>
      <c r="J51" s="3" t="s">
        <v>752</v>
      </c>
      <c r="K51" s="3">
        <v>3696.2</v>
      </c>
      <c r="L51" s="3" t="s">
        <v>30</v>
      </c>
      <c r="M51" s="3">
        <v>0.51</v>
      </c>
      <c r="N51" s="3">
        <v>1.88506</v>
      </c>
      <c r="O51" s="3">
        <v>7</v>
      </c>
      <c r="P51" s="3">
        <v>15.57</v>
      </c>
      <c r="Q51" s="3">
        <v>0.10899</v>
      </c>
      <c r="R51" s="3">
        <v>1.9940500000000001</v>
      </c>
      <c r="S51" s="3" t="s">
        <v>773</v>
      </c>
      <c r="T51" s="3" t="s">
        <v>736</v>
      </c>
    </row>
    <row r="52" spans="1:20" x14ac:dyDescent="0.25">
      <c r="A52" s="2">
        <v>49</v>
      </c>
      <c r="B52" s="2">
        <v>2023</v>
      </c>
      <c r="C52" s="2" t="s">
        <v>22</v>
      </c>
      <c r="D52" s="2" t="s">
        <v>816</v>
      </c>
      <c r="E52" s="2" t="s">
        <v>725</v>
      </c>
      <c r="F52" s="2" t="s">
        <v>726</v>
      </c>
      <c r="G52" s="2" t="s">
        <v>732</v>
      </c>
      <c r="H52" s="2" t="s">
        <v>732</v>
      </c>
      <c r="I52" s="2" t="s">
        <v>790</v>
      </c>
      <c r="J52" s="2" t="s">
        <v>740</v>
      </c>
      <c r="K52" s="2">
        <v>9016.7000000000007</v>
      </c>
      <c r="L52" s="2" t="s">
        <v>30</v>
      </c>
      <c r="M52" s="2">
        <v>0.21</v>
      </c>
      <c r="N52" s="2">
        <v>1.89351</v>
      </c>
      <c r="O52" s="2">
        <v>7</v>
      </c>
      <c r="P52" s="2">
        <v>30.58</v>
      </c>
      <c r="Q52" s="2">
        <v>0.21406</v>
      </c>
      <c r="R52" s="2">
        <v>2.1075699999999999</v>
      </c>
      <c r="S52" s="2" t="s">
        <v>753</v>
      </c>
      <c r="T52" s="2" t="s">
        <v>736</v>
      </c>
    </row>
    <row r="53" spans="1:20" x14ac:dyDescent="0.25">
      <c r="A53" s="3">
        <v>50</v>
      </c>
      <c r="B53" s="3">
        <v>2023</v>
      </c>
      <c r="C53" s="3" t="s">
        <v>32</v>
      </c>
      <c r="D53" s="3" t="s">
        <v>817</v>
      </c>
      <c r="E53" s="3" t="s">
        <v>793</v>
      </c>
      <c r="F53" s="3" t="s">
        <v>763</v>
      </c>
      <c r="G53" s="3" t="s">
        <v>778</v>
      </c>
      <c r="H53" s="3" t="s">
        <v>732</v>
      </c>
      <c r="I53" s="3" t="s">
        <v>790</v>
      </c>
      <c r="J53" s="3" t="s">
        <v>740</v>
      </c>
      <c r="K53" s="3">
        <v>569.6</v>
      </c>
      <c r="L53" s="3" t="s">
        <v>38</v>
      </c>
      <c r="M53" s="3">
        <v>0.21</v>
      </c>
      <c r="N53" s="3">
        <v>0.11962</v>
      </c>
      <c r="O53" s="3">
        <v>2</v>
      </c>
      <c r="P53" s="3">
        <v>16.5</v>
      </c>
      <c r="Q53" s="3">
        <v>3.3000000000000002E-2</v>
      </c>
      <c r="R53" s="3">
        <v>0.15262000000000001</v>
      </c>
      <c r="S53" s="3" t="s">
        <v>769</v>
      </c>
      <c r="T53" s="3" t="s">
        <v>730</v>
      </c>
    </row>
    <row r="54" spans="1:20" x14ac:dyDescent="0.25">
      <c r="A54" s="2">
        <v>51</v>
      </c>
      <c r="B54" s="2">
        <v>2023</v>
      </c>
      <c r="C54" s="2" t="s">
        <v>39</v>
      </c>
      <c r="D54" s="2" t="s">
        <v>818</v>
      </c>
      <c r="E54" s="2" t="s">
        <v>788</v>
      </c>
      <c r="F54" s="2" t="s">
        <v>763</v>
      </c>
      <c r="G54" s="2" t="s">
        <v>743</v>
      </c>
      <c r="H54" s="2" t="s">
        <v>765</v>
      </c>
      <c r="I54" s="2" t="s">
        <v>761</v>
      </c>
      <c r="J54" s="2" t="s">
        <v>728</v>
      </c>
      <c r="K54" s="2">
        <v>845.8</v>
      </c>
      <c r="L54" s="2" t="s">
        <v>30</v>
      </c>
      <c r="M54" s="2">
        <v>0.255</v>
      </c>
      <c r="N54" s="2">
        <v>0.21568000000000001</v>
      </c>
      <c r="O54" s="2">
        <v>4</v>
      </c>
      <c r="P54" s="2">
        <v>31.57</v>
      </c>
      <c r="Q54" s="2">
        <v>0.12628</v>
      </c>
      <c r="R54" s="2">
        <v>0.34195999999999999</v>
      </c>
      <c r="S54" s="2" t="s">
        <v>747</v>
      </c>
      <c r="T54" s="2" t="s">
        <v>736</v>
      </c>
    </row>
    <row r="55" spans="1:20" ht="24" x14ac:dyDescent="0.25">
      <c r="A55" s="3">
        <v>52</v>
      </c>
      <c r="B55" s="3">
        <v>2023</v>
      </c>
      <c r="C55" s="3" t="s">
        <v>46</v>
      </c>
      <c r="D55" s="3" t="s">
        <v>819</v>
      </c>
      <c r="E55" s="3" t="s">
        <v>777</v>
      </c>
      <c r="F55" s="3" t="s">
        <v>726</v>
      </c>
      <c r="G55" s="3" t="s">
        <v>803</v>
      </c>
      <c r="H55" s="3" t="s">
        <v>768</v>
      </c>
      <c r="I55" s="3" t="s">
        <v>739</v>
      </c>
      <c r="J55" s="3" t="s">
        <v>740</v>
      </c>
      <c r="K55" s="3">
        <v>2812.5</v>
      </c>
      <c r="L55" s="3" t="s">
        <v>38</v>
      </c>
      <c r="M55" s="3">
        <v>6.2E-2</v>
      </c>
      <c r="N55" s="3">
        <v>0.17438000000000001</v>
      </c>
      <c r="O55" s="3">
        <v>6</v>
      </c>
      <c r="P55" s="3">
        <v>27.71</v>
      </c>
      <c r="Q55" s="3">
        <v>0.16625999999999999</v>
      </c>
      <c r="R55" s="3">
        <v>0.34064</v>
      </c>
      <c r="S55" s="3" t="s">
        <v>771</v>
      </c>
      <c r="T55" s="3" t="s">
        <v>757</v>
      </c>
    </row>
    <row r="56" spans="1:20" x14ac:dyDescent="0.25">
      <c r="A56" s="2">
        <v>53</v>
      </c>
      <c r="B56" s="2">
        <v>2023</v>
      </c>
      <c r="C56" s="2" t="s">
        <v>22</v>
      </c>
      <c r="D56" s="2" t="s">
        <v>820</v>
      </c>
      <c r="E56" s="2" t="s">
        <v>742</v>
      </c>
      <c r="F56" s="2" t="s">
        <v>726</v>
      </c>
      <c r="G56" s="2" t="s">
        <v>727</v>
      </c>
      <c r="H56" s="2" t="s">
        <v>33</v>
      </c>
      <c r="I56" s="2" t="s">
        <v>751</v>
      </c>
      <c r="J56" s="2" t="s">
        <v>752</v>
      </c>
      <c r="K56" s="2">
        <v>6032.8</v>
      </c>
      <c r="L56" s="2" t="s">
        <v>38</v>
      </c>
      <c r="M56" s="2">
        <v>0.58499999999999996</v>
      </c>
      <c r="N56" s="2">
        <v>3.5291899999999998</v>
      </c>
      <c r="O56" s="2">
        <v>7</v>
      </c>
      <c r="P56" s="2">
        <v>29.02</v>
      </c>
      <c r="Q56" s="2">
        <v>0.20313999999999999</v>
      </c>
      <c r="R56" s="2">
        <v>3.7323300000000001</v>
      </c>
      <c r="S56" s="2" t="s">
        <v>729</v>
      </c>
      <c r="T56" s="2" t="s">
        <v>730</v>
      </c>
    </row>
    <row r="57" spans="1:20" x14ac:dyDescent="0.25">
      <c r="A57" s="3">
        <v>54</v>
      </c>
      <c r="B57" s="3">
        <v>2023</v>
      </c>
      <c r="C57" s="3" t="s">
        <v>32</v>
      </c>
      <c r="D57" s="3" t="s">
        <v>821</v>
      </c>
      <c r="E57" s="3" t="s">
        <v>788</v>
      </c>
      <c r="F57" s="3" t="s">
        <v>726</v>
      </c>
      <c r="G57" s="3" t="s">
        <v>768</v>
      </c>
      <c r="H57" s="3" t="s">
        <v>756</v>
      </c>
      <c r="I57" s="3" t="s">
        <v>739</v>
      </c>
      <c r="J57" s="3" t="s">
        <v>740</v>
      </c>
      <c r="K57" s="3">
        <v>8945.5</v>
      </c>
      <c r="L57" s="3" t="s">
        <v>38</v>
      </c>
      <c r="M57" s="3">
        <v>6.2E-2</v>
      </c>
      <c r="N57" s="3">
        <v>0.55462</v>
      </c>
      <c r="O57" s="3">
        <v>0</v>
      </c>
      <c r="P57" s="3">
        <v>23.67</v>
      </c>
      <c r="Q57" s="3">
        <v>0</v>
      </c>
      <c r="R57" s="3">
        <v>0.55462</v>
      </c>
      <c r="S57" s="3" t="s">
        <v>773</v>
      </c>
      <c r="T57" s="3" t="s">
        <v>736</v>
      </c>
    </row>
    <row r="58" spans="1:20" x14ac:dyDescent="0.25">
      <c r="A58" s="2">
        <v>55</v>
      </c>
      <c r="B58" s="2">
        <v>2023</v>
      </c>
      <c r="C58" s="2" t="s">
        <v>39</v>
      </c>
      <c r="D58" s="2" t="s">
        <v>822</v>
      </c>
      <c r="E58" s="2" t="s">
        <v>742</v>
      </c>
      <c r="F58" s="2" t="s">
        <v>726</v>
      </c>
      <c r="G58" s="2" t="s">
        <v>733</v>
      </c>
      <c r="H58" s="2" t="s">
        <v>746</v>
      </c>
      <c r="I58" s="2" t="s">
        <v>548</v>
      </c>
      <c r="J58" s="2" t="s">
        <v>728</v>
      </c>
      <c r="K58" s="2">
        <v>9752.1</v>
      </c>
      <c r="L58" s="2" t="s">
        <v>30</v>
      </c>
      <c r="M58" s="2">
        <v>4.1000000000000002E-2</v>
      </c>
      <c r="N58" s="2">
        <v>0.39983999999999997</v>
      </c>
      <c r="O58" s="2">
        <v>4</v>
      </c>
      <c r="P58" s="2">
        <v>36.97</v>
      </c>
      <c r="Q58" s="2">
        <v>0.14788000000000001</v>
      </c>
      <c r="R58" s="2">
        <v>0.54771999999999998</v>
      </c>
      <c r="S58" s="2" t="s">
        <v>781</v>
      </c>
      <c r="T58" s="2" t="s">
        <v>730</v>
      </c>
    </row>
    <row r="59" spans="1:20" x14ac:dyDescent="0.25">
      <c r="A59" s="3">
        <v>56</v>
      </c>
      <c r="B59" s="3">
        <v>2023</v>
      </c>
      <c r="C59" s="3" t="s">
        <v>46</v>
      </c>
      <c r="D59" s="3" t="s">
        <v>823</v>
      </c>
      <c r="E59" s="3" t="s">
        <v>793</v>
      </c>
      <c r="F59" s="3" t="s">
        <v>726</v>
      </c>
      <c r="G59" s="3" t="s">
        <v>750</v>
      </c>
      <c r="H59" s="3" t="s">
        <v>33</v>
      </c>
      <c r="I59" s="3" t="s">
        <v>739</v>
      </c>
      <c r="J59" s="3" t="s">
        <v>740</v>
      </c>
      <c r="K59" s="3">
        <v>7900.3</v>
      </c>
      <c r="L59" s="3" t="s">
        <v>30</v>
      </c>
      <c r="M59" s="3">
        <v>6.2E-2</v>
      </c>
      <c r="N59" s="3">
        <v>0.48981999999999998</v>
      </c>
      <c r="O59" s="3">
        <v>1</v>
      </c>
      <c r="P59" s="3">
        <v>33.25</v>
      </c>
      <c r="Q59" s="3">
        <v>3.3250000000000002E-2</v>
      </c>
      <c r="R59" s="3">
        <v>0.52307000000000003</v>
      </c>
      <c r="S59" s="3" t="s">
        <v>753</v>
      </c>
      <c r="T59" s="3" t="s">
        <v>730</v>
      </c>
    </row>
    <row r="60" spans="1:20" x14ac:dyDescent="0.25">
      <c r="A60" s="2">
        <v>57</v>
      </c>
      <c r="B60" s="2">
        <v>2023</v>
      </c>
      <c r="C60" s="2" t="s">
        <v>22</v>
      </c>
      <c r="D60" s="2" t="s">
        <v>824</v>
      </c>
      <c r="E60" s="2" t="s">
        <v>725</v>
      </c>
      <c r="F60" s="2" t="s">
        <v>726</v>
      </c>
      <c r="G60" s="2" t="s">
        <v>759</v>
      </c>
      <c r="H60" s="2" t="s">
        <v>733</v>
      </c>
      <c r="I60" s="2" t="s">
        <v>744</v>
      </c>
      <c r="J60" s="2" t="s">
        <v>740</v>
      </c>
      <c r="K60" s="2">
        <v>5417.6</v>
      </c>
      <c r="L60" s="2" t="s">
        <v>30</v>
      </c>
      <c r="M60" s="2">
        <v>0.192</v>
      </c>
      <c r="N60" s="2">
        <v>1.0401800000000001</v>
      </c>
      <c r="O60" s="2">
        <v>2</v>
      </c>
      <c r="P60" s="2">
        <v>20.170000000000002</v>
      </c>
      <c r="Q60" s="2">
        <v>4.0340000000000001E-2</v>
      </c>
      <c r="R60" s="2">
        <v>1.0805199999999999</v>
      </c>
      <c r="S60" s="2" t="s">
        <v>781</v>
      </c>
      <c r="T60" s="2" t="s">
        <v>730</v>
      </c>
    </row>
    <row r="61" spans="1:20" ht="24" x14ac:dyDescent="0.25">
      <c r="A61" s="3">
        <v>58</v>
      </c>
      <c r="B61" s="3">
        <v>2023</v>
      </c>
      <c r="C61" s="3" t="s">
        <v>32</v>
      </c>
      <c r="D61" s="3" t="s">
        <v>825</v>
      </c>
      <c r="E61" s="3" t="s">
        <v>725</v>
      </c>
      <c r="F61" s="3" t="s">
        <v>726</v>
      </c>
      <c r="G61" s="3" t="s">
        <v>756</v>
      </c>
      <c r="H61" s="3" t="s">
        <v>803</v>
      </c>
      <c r="I61" s="3" t="s">
        <v>790</v>
      </c>
      <c r="J61" s="3" t="s">
        <v>740</v>
      </c>
      <c r="K61" s="3">
        <v>10919.3</v>
      </c>
      <c r="L61" s="3" t="s">
        <v>30</v>
      </c>
      <c r="M61" s="3">
        <v>0.21</v>
      </c>
      <c r="N61" s="3">
        <v>2.29305</v>
      </c>
      <c r="O61" s="3">
        <v>6</v>
      </c>
      <c r="P61" s="3">
        <v>39.89</v>
      </c>
      <c r="Q61" s="3">
        <v>0.23934</v>
      </c>
      <c r="R61" s="3">
        <v>2.5323899999999999</v>
      </c>
      <c r="S61" s="3" t="s">
        <v>729</v>
      </c>
      <c r="T61" s="3" t="s">
        <v>757</v>
      </c>
    </row>
    <row r="62" spans="1:20" x14ac:dyDescent="0.25">
      <c r="A62" s="2">
        <v>59</v>
      </c>
      <c r="B62" s="2">
        <v>2023</v>
      </c>
      <c r="C62" s="2" t="s">
        <v>39</v>
      </c>
      <c r="D62" s="2" t="s">
        <v>826</v>
      </c>
      <c r="E62" s="2" t="s">
        <v>725</v>
      </c>
      <c r="F62" s="2" t="s">
        <v>726</v>
      </c>
      <c r="G62" s="2" t="s">
        <v>732</v>
      </c>
      <c r="H62" s="2" t="s">
        <v>727</v>
      </c>
      <c r="I62" s="2" t="s">
        <v>790</v>
      </c>
      <c r="J62" s="2" t="s">
        <v>740</v>
      </c>
      <c r="K62" s="2">
        <v>6418.9</v>
      </c>
      <c r="L62" s="2" t="s">
        <v>38</v>
      </c>
      <c r="M62" s="2">
        <v>0.21</v>
      </c>
      <c r="N62" s="2">
        <v>1.3479699999999999</v>
      </c>
      <c r="O62" s="2">
        <v>1</v>
      </c>
      <c r="P62" s="2">
        <v>19.600000000000001</v>
      </c>
      <c r="Q62" s="2">
        <v>1.9599999999999999E-2</v>
      </c>
      <c r="R62" s="2">
        <v>1.36757</v>
      </c>
      <c r="S62" s="2" t="s">
        <v>753</v>
      </c>
      <c r="T62" s="2" t="s">
        <v>730</v>
      </c>
    </row>
    <row r="63" spans="1:20" x14ac:dyDescent="0.25">
      <c r="A63" s="3">
        <v>60</v>
      </c>
      <c r="B63" s="3">
        <v>2023</v>
      </c>
      <c r="C63" s="3" t="s">
        <v>46</v>
      </c>
      <c r="D63" s="3" t="s">
        <v>827</v>
      </c>
      <c r="E63" s="3" t="s">
        <v>793</v>
      </c>
      <c r="F63" s="3" t="s">
        <v>726</v>
      </c>
      <c r="G63" s="3" t="s">
        <v>765</v>
      </c>
      <c r="H63" s="3" t="s">
        <v>764</v>
      </c>
      <c r="I63" s="3" t="s">
        <v>548</v>
      </c>
      <c r="J63" s="3" t="s">
        <v>728</v>
      </c>
      <c r="K63" s="3">
        <v>5343.9</v>
      </c>
      <c r="L63" s="3" t="s">
        <v>30</v>
      </c>
      <c r="M63" s="3">
        <v>4.1000000000000002E-2</v>
      </c>
      <c r="N63" s="3">
        <v>0.21909999999999999</v>
      </c>
      <c r="O63" s="3">
        <v>4</v>
      </c>
      <c r="P63" s="3">
        <v>18.8</v>
      </c>
      <c r="Q63" s="3">
        <v>7.5200000000000003E-2</v>
      </c>
      <c r="R63" s="3">
        <v>0.29430000000000001</v>
      </c>
      <c r="S63" s="3" t="s">
        <v>769</v>
      </c>
      <c r="T63" s="3" t="s">
        <v>736</v>
      </c>
    </row>
    <row r="64" spans="1:20" x14ac:dyDescent="0.25">
      <c r="A64" s="2">
        <v>61</v>
      </c>
      <c r="B64" s="2">
        <v>2023</v>
      </c>
      <c r="C64" s="2" t="s">
        <v>22</v>
      </c>
      <c r="D64" s="2" t="s">
        <v>828</v>
      </c>
      <c r="E64" s="2" t="s">
        <v>793</v>
      </c>
      <c r="F64" s="2" t="s">
        <v>726</v>
      </c>
      <c r="G64" s="2" t="s">
        <v>756</v>
      </c>
      <c r="H64" s="2" t="s">
        <v>727</v>
      </c>
      <c r="I64" s="2" t="s">
        <v>548</v>
      </c>
      <c r="J64" s="2" t="s">
        <v>728</v>
      </c>
      <c r="K64" s="2">
        <v>7287</v>
      </c>
      <c r="L64" s="2" t="s">
        <v>38</v>
      </c>
      <c r="M64" s="2">
        <v>4.1000000000000002E-2</v>
      </c>
      <c r="N64" s="2">
        <v>0.29876999999999998</v>
      </c>
      <c r="O64" s="2">
        <v>3</v>
      </c>
      <c r="P64" s="2">
        <v>29.91</v>
      </c>
      <c r="Q64" s="2">
        <v>8.9730000000000004E-2</v>
      </c>
      <c r="R64" s="2">
        <v>0.38850000000000001</v>
      </c>
      <c r="S64" s="2" t="s">
        <v>771</v>
      </c>
      <c r="T64" s="2" t="s">
        <v>736</v>
      </c>
    </row>
    <row r="65" spans="1:20" x14ac:dyDescent="0.25">
      <c r="A65" s="3">
        <v>62</v>
      </c>
      <c r="B65" s="3">
        <v>2023</v>
      </c>
      <c r="C65" s="3" t="s">
        <v>32</v>
      </c>
      <c r="D65" s="3" t="s">
        <v>829</v>
      </c>
      <c r="E65" s="3" t="s">
        <v>788</v>
      </c>
      <c r="F65" s="3" t="s">
        <v>726</v>
      </c>
      <c r="G65" s="3" t="s">
        <v>764</v>
      </c>
      <c r="H65" s="3" t="s">
        <v>743</v>
      </c>
      <c r="I65" s="3" t="s">
        <v>734</v>
      </c>
      <c r="J65" s="3" t="s">
        <v>728</v>
      </c>
      <c r="K65" s="3">
        <v>1652.3</v>
      </c>
      <c r="L65" s="3" t="s">
        <v>38</v>
      </c>
      <c r="M65" s="3">
        <v>8.8999999999999996E-2</v>
      </c>
      <c r="N65" s="3">
        <v>0.14704999999999999</v>
      </c>
      <c r="O65" s="3">
        <v>7</v>
      </c>
      <c r="P65" s="3">
        <v>32.799999999999997</v>
      </c>
      <c r="Q65" s="3">
        <v>0.2296</v>
      </c>
      <c r="R65" s="3">
        <v>0.37664999999999998</v>
      </c>
      <c r="S65" s="3" t="s">
        <v>735</v>
      </c>
      <c r="T65" s="3" t="s">
        <v>730</v>
      </c>
    </row>
    <row r="66" spans="1:20" x14ac:dyDescent="0.25">
      <c r="A66" s="2">
        <v>63</v>
      </c>
      <c r="B66" s="2">
        <v>2023</v>
      </c>
      <c r="C66" s="2" t="s">
        <v>39</v>
      </c>
      <c r="D66" s="2" t="s">
        <v>830</v>
      </c>
      <c r="E66" s="2" t="s">
        <v>742</v>
      </c>
      <c r="F66" s="2" t="s">
        <v>726</v>
      </c>
      <c r="G66" s="2" t="s">
        <v>803</v>
      </c>
      <c r="H66" s="2" t="s">
        <v>746</v>
      </c>
      <c r="I66" s="2" t="s">
        <v>751</v>
      </c>
      <c r="J66" s="2" t="s">
        <v>728</v>
      </c>
      <c r="K66" s="2">
        <v>2007.2</v>
      </c>
      <c r="L66" s="2" t="s">
        <v>38</v>
      </c>
      <c r="M66" s="2">
        <v>0.19500000000000001</v>
      </c>
      <c r="N66" s="2">
        <v>0.39140000000000003</v>
      </c>
      <c r="O66" s="2">
        <v>3</v>
      </c>
      <c r="P66" s="2">
        <v>15.81</v>
      </c>
      <c r="Q66" s="2">
        <v>4.743E-2</v>
      </c>
      <c r="R66" s="2">
        <v>0.43883</v>
      </c>
      <c r="S66" s="2" t="s">
        <v>773</v>
      </c>
      <c r="T66" s="2" t="s">
        <v>736</v>
      </c>
    </row>
    <row r="67" spans="1:20" x14ac:dyDescent="0.25">
      <c r="A67" s="3">
        <v>64</v>
      </c>
      <c r="B67" s="3">
        <v>2023</v>
      </c>
      <c r="C67" s="3" t="s">
        <v>46</v>
      </c>
      <c r="D67" s="3" t="s">
        <v>831</v>
      </c>
      <c r="E67" s="3" t="s">
        <v>738</v>
      </c>
      <c r="F67" s="3" t="s">
        <v>726</v>
      </c>
      <c r="G67" s="3" t="s">
        <v>743</v>
      </c>
      <c r="H67" s="3" t="s">
        <v>759</v>
      </c>
      <c r="I67" s="3" t="s">
        <v>751</v>
      </c>
      <c r="J67" s="3" t="s">
        <v>752</v>
      </c>
      <c r="K67" s="3">
        <v>9105.4</v>
      </c>
      <c r="L67" s="3" t="s">
        <v>38</v>
      </c>
      <c r="M67" s="3">
        <v>0.58499999999999996</v>
      </c>
      <c r="N67" s="3">
        <v>5.3266600000000004</v>
      </c>
      <c r="O67" s="3">
        <v>1</v>
      </c>
      <c r="P67" s="3">
        <v>19.43</v>
      </c>
      <c r="Q67" s="3">
        <v>1.9429999999999999E-2</v>
      </c>
      <c r="R67" s="3">
        <v>5.3460900000000002</v>
      </c>
      <c r="S67" s="3" t="s">
        <v>729</v>
      </c>
      <c r="T67" s="3" t="s">
        <v>730</v>
      </c>
    </row>
    <row r="68" spans="1:20" x14ac:dyDescent="0.25">
      <c r="A68" s="2">
        <v>65</v>
      </c>
      <c r="B68" s="2">
        <v>2023</v>
      </c>
      <c r="C68" s="2" t="s">
        <v>22</v>
      </c>
      <c r="D68" s="2" t="s">
        <v>832</v>
      </c>
      <c r="E68" s="2" t="s">
        <v>749</v>
      </c>
      <c r="F68" s="2" t="s">
        <v>726</v>
      </c>
      <c r="G68" s="2" t="s">
        <v>732</v>
      </c>
      <c r="H68" s="2" t="s">
        <v>768</v>
      </c>
      <c r="I68" s="2" t="s">
        <v>751</v>
      </c>
      <c r="J68" s="2" t="s">
        <v>752</v>
      </c>
      <c r="K68" s="2">
        <v>5159.3</v>
      </c>
      <c r="L68" s="2" t="s">
        <v>38</v>
      </c>
      <c r="M68" s="2">
        <v>0.58499999999999996</v>
      </c>
      <c r="N68" s="2">
        <v>3.0181900000000002</v>
      </c>
      <c r="O68" s="2">
        <v>0</v>
      </c>
      <c r="P68" s="2">
        <v>30.2</v>
      </c>
      <c r="Q68" s="2">
        <v>0</v>
      </c>
      <c r="R68" s="2">
        <v>3.0181900000000002</v>
      </c>
      <c r="S68" s="2" t="s">
        <v>769</v>
      </c>
      <c r="T68" s="2" t="s">
        <v>736</v>
      </c>
    </row>
    <row r="69" spans="1:20" x14ac:dyDescent="0.25">
      <c r="A69" s="3">
        <v>66</v>
      </c>
      <c r="B69" s="3">
        <v>2023</v>
      </c>
      <c r="C69" s="3" t="s">
        <v>32</v>
      </c>
      <c r="D69" s="3" t="s">
        <v>833</v>
      </c>
      <c r="E69" s="3" t="s">
        <v>793</v>
      </c>
      <c r="F69" s="3" t="s">
        <v>726</v>
      </c>
      <c r="G69" s="3" t="s">
        <v>733</v>
      </c>
      <c r="H69" s="3" t="s">
        <v>733</v>
      </c>
      <c r="I69" s="3" t="s">
        <v>761</v>
      </c>
      <c r="J69" s="3" t="s">
        <v>752</v>
      </c>
      <c r="K69" s="3">
        <v>5446.7</v>
      </c>
      <c r="L69" s="3" t="s">
        <v>38</v>
      </c>
      <c r="M69" s="3">
        <v>0.51</v>
      </c>
      <c r="N69" s="3">
        <v>2.7778200000000002</v>
      </c>
      <c r="O69" s="3">
        <v>0</v>
      </c>
      <c r="P69" s="3">
        <v>36.94</v>
      </c>
      <c r="Q69" s="3">
        <v>0</v>
      </c>
      <c r="R69" s="3">
        <v>2.7778200000000002</v>
      </c>
      <c r="S69" s="3" t="s">
        <v>769</v>
      </c>
      <c r="T69" s="3" t="s">
        <v>736</v>
      </c>
    </row>
    <row r="70" spans="1:20" x14ac:dyDescent="0.25">
      <c r="A70" s="2">
        <v>67</v>
      </c>
      <c r="B70" s="2">
        <v>2023</v>
      </c>
      <c r="C70" s="2" t="s">
        <v>39</v>
      </c>
      <c r="D70" s="2" t="s">
        <v>834</v>
      </c>
      <c r="E70" s="2" t="s">
        <v>738</v>
      </c>
      <c r="F70" s="2" t="s">
        <v>726</v>
      </c>
      <c r="G70" s="2" t="s">
        <v>750</v>
      </c>
      <c r="H70" s="2" t="s">
        <v>803</v>
      </c>
      <c r="I70" s="2" t="s">
        <v>739</v>
      </c>
      <c r="J70" s="2" t="s">
        <v>740</v>
      </c>
      <c r="K70" s="2">
        <v>6217.7</v>
      </c>
      <c r="L70" s="2" t="s">
        <v>38</v>
      </c>
      <c r="M70" s="2">
        <v>6.2E-2</v>
      </c>
      <c r="N70" s="2">
        <v>0.38550000000000001</v>
      </c>
      <c r="O70" s="2">
        <v>0</v>
      </c>
      <c r="P70" s="2">
        <v>19.75</v>
      </c>
      <c r="Q70" s="2">
        <v>0</v>
      </c>
      <c r="R70" s="2">
        <v>0.38550000000000001</v>
      </c>
      <c r="S70" s="2" t="s">
        <v>747</v>
      </c>
      <c r="T70" s="2" t="s">
        <v>730</v>
      </c>
    </row>
    <row r="71" spans="1:20" x14ac:dyDescent="0.25">
      <c r="A71" s="3">
        <v>68</v>
      </c>
      <c r="B71" s="3">
        <v>2023</v>
      </c>
      <c r="C71" s="3" t="s">
        <v>46</v>
      </c>
      <c r="D71" s="3" t="s">
        <v>835</v>
      </c>
      <c r="E71" s="3" t="s">
        <v>725</v>
      </c>
      <c r="F71" s="3" t="s">
        <v>726</v>
      </c>
      <c r="G71" s="3" t="s">
        <v>760</v>
      </c>
      <c r="H71" s="3" t="s">
        <v>743</v>
      </c>
      <c r="I71" s="3" t="s">
        <v>751</v>
      </c>
      <c r="J71" s="3" t="s">
        <v>728</v>
      </c>
      <c r="K71" s="3">
        <v>5098.3999999999996</v>
      </c>
      <c r="L71" s="3" t="s">
        <v>38</v>
      </c>
      <c r="M71" s="3">
        <v>0.19500000000000001</v>
      </c>
      <c r="N71" s="3">
        <v>0.99419000000000002</v>
      </c>
      <c r="O71" s="3">
        <v>0</v>
      </c>
      <c r="P71" s="3">
        <v>32.25</v>
      </c>
      <c r="Q71" s="3">
        <v>0</v>
      </c>
      <c r="R71" s="3">
        <v>0.99419000000000002</v>
      </c>
      <c r="S71" s="3" t="s">
        <v>771</v>
      </c>
      <c r="T71" s="3" t="s">
        <v>736</v>
      </c>
    </row>
    <row r="72" spans="1:20" x14ac:dyDescent="0.25">
      <c r="A72" s="2">
        <v>69</v>
      </c>
      <c r="B72" s="2">
        <v>2023</v>
      </c>
      <c r="C72" s="2" t="s">
        <v>22</v>
      </c>
      <c r="D72" s="2" t="s">
        <v>836</v>
      </c>
      <c r="E72" s="2" t="s">
        <v>788</v>
      </c>
      <c r="F72" s="2" t="s">
        <v>726</v>
      </c>
      <c r="G72" s="2" t="s">
        <v>760</v>
      </c>
      <c r="H72" s="2" t="s">
        <v>727</v>
      </c>
      <c r="I72" s="2" t="s">
        <v>790</v>
      </c>
      <c r="J72" s="2" t="s">
        <v>740</v>
      </c>
      <c r="K72" s="2">
        <v>1402.4</v>
      </c>
      <c r="L72" s="2" t="s">
        <v>30</v>
      </c>
      <c r="M72" s="2">
        <v>0.21</v>
      </c>
      <c r="N72" s="2">
        <v>0.29449999999999998</v>
      </c>
      <c r="O72" s="2">
        <v>2</v>
      </c>
      <c r="P72" s="2">
        <v>24.83</v>
      </c>
      <c r="Q72" s="2">
        <v>4.9660000000000003E-2</v>
      </c>
      <c r="R72" s="2">
        <v>0.34416000000000002</v>
      </c>
      <c r="S72" s="2" t="s">
        <v>735</v>
      </c>
      <c r="T72" s="2" t="s">
        <v>736</v>
      </c>
    </row>
    <row r="73" spans="1:20" ht="24" x14ac:dyDescent="0.25">
      <c r="A73" s="3">
        <v>70</v>
      </c>
      <c r="B73" s="3">
        <v>2023</v>
      </c>
      <c r="C73" s="3" t="s">
        <v>32</v>
      </c>
      <c r="D73" s="3" t="s">
        <v>837</v>
      </c>
      <c r="E73" s="3" t="s">
        <v>725</v>
      </c>
      <c r="F73" s="3" t="s">
        <v>726</v>
      </c>
      <c r="G73" s="3" t="s">
        <v>732</v>
      </c>
      <c r="H73" s="3" t="s">
        <v>732</v>
      </c>
      <c r="I73" s="3" t="s">
        <v>751</v>
      </c>
      <c r="J73" s="3" t="s">
        <v>752</v>
      </c>
      <c r="K73" s="3">
        <v>10596.5</v>
      </c>
      <c r="L73" s="3" t="s">
        <v>30</v>
      </c>
      <c r="M73" s="3">
        <v>0.58499999999999996</v>
      </c>
      <c r="N73" s="3">
        <v>6.19895</v>
      </c>
      <c r="O73" s="3">
        <v>1</v>
      </c>
      <c r="P73" s="3">
        <v>21.25</v>
      </c>
      <c r="Q73" s="3">
        <v>2.1250000000000002E-2</v>
      </c>
      <c r="R73" s="3">
        <v>6.2202000000000002</v>
      </c>
      <c r="S73" s="3" t="s">
        <v>771</v>
      </c>
      <c r="T73" s="3" t="s">
        <v>757</v>
      </c>
    </row>
    <row r="74" spans="1:20" x14ac:dyDescent="0.25">
      <c r="A74" s="2">
        <v>71</v>
      </c>
      <c r="B74" s="2">
        <v>2023</v>
      </c>
      <c r="C74" s="2" t="s">
        <v>39</v>
      </c>
      <c r="D74" s="2" t="s">
        <v>838</v>
      </c>
      <c r="E74" s="2" t="s">
        <v>749</v>
      </c>
      <c r="F74" s="2" t="s">
        <v>726</v>
      </c>
      <c r="G74" s="2" t="s">
        <v>732</v>
      </c>
      <c r="H74" s="2" t="s">
        <v>778</v>
      </c>
      <c r="I74" s="2" t="s">
        <v>734</v>
      </c>
      <c r="J74" s="2" t="s">
        <v>728</v>
      </c>
      <c r="K74" s="2">
        <v>7627.2</v>
      </c>
      <c r="L74" s="2" t="s">
        <v>30</v>
      </c>
      <c r="M74" s="2">
        <v>8.8999999999999996E-2</v>
      </c>
      <c r="N74" s="2">
        <v>0.67881999999999998</v>
      </c>
      <c r="O74" s="2">
        <v>1</v>
      </c>
      <c r="P74" s="2">
        <v>28.1</v>
      </c>
      <c r="Q74" s="2">
        <v>2.81E-2</v>
      </c>
      <c r="R74" s="2">
        <v>0.70691999999999999</v>
      </c>
      <c r="S74" s="2" t="s">
        <v>753</v>
      </c>
      <c r="T74" s="2" t="s">
        <v>736</v>
      </c>
    </row>
    <row r="75" spans="1:20" x14ac:dyDescent="0.25">
      <c r="A75" s="3">
        <v>72</v>
      </c>
      <c r="B75" s="3">
        <v>2023</v>
      </c>
      <c r="C75" s="3" t="s">
        <v>46</v>
      </c>
      <c r="D75" s="3" t="s">
        <v>839</v>
      </c>
      <c r="E75" s="3" t="s">
        <v>725</v>
      </c>
      <c r="F75" s="3" t="s">
        <v>763</v>
      </c>
      <c r="G75" s="3" t="s">
        <v>764</v>
      </c>
      <c r="H75" s="3" t="s">
        <v>743</v>
      </c>
      <c r="I75" s="3" t="s">
        <v>739</v>
      </c>
      <c r="J75" s="3" t="s">
        <v>740</v>
      </c>
      <c r="K75" s="3">
        <v>574.70000000000005</v>
      </c>
      <c r="L75" s="3" t="s">
        <v>30</v>
      </c>
      <c r="M75" s="3">
        <v>6.2E-2</v>
      </c>
      <c r="N75" s="3">
        <v>3.5630000000000002E-2</v>
      </c>
      <c r="O75" s="3">
        <v>2</v>
      </c>
      <c r="P75" s="3">
        <v>37.81</v>
      </c>
      <c r="Q75" s="3">
        <v>7.5620000000000007E-2</v>
      </c>
      <c r="R75" s="3">
        <v>0.11125</v>
      </c>
      <c r="S75" s="3" t="s">
        <v>781</v>
      </c>
      <c r="T75" s="3" t="s">
        <v>736</v>
      </c>
    </row>
    <row r="76" spans="1:20" ht="24" x14ac:dyDescent="0.25">
      <c r="A76" s="2">
        <v>73</v>
      </c>
      <c r="B76" s="2">
        <v>2023</v>
      </c>
      <c r="C76" s="2" t="s">
        <v>22</v>
      </c>
      <c r="D76" s="2" t="s">
        <v>840</v>
      </c>
      <c r="E76" s="2" t="s">
        <v>738</v>
      </c>
      <c r="F76" s="2" t="s">
        <v>726</v>
      </c>
      <c r="G76" s="2" t="s">
        <v>746</v>
      </c>
      <c r="H76" s="2" t="s">
        <v>756</v>
      </c>
      <c r="I76" s="2" t="s">
        <v>761</v>
      </c>
      <c r="J76" s="2" t="s">
        <v>728</v>
      </c>
      <c r="K76" s="2">
        <v>5064</v>
      </c>
      <c r="L76" s="2" t="s">
        <v>30</v>
      </c>
      <c r="M76" s="2">
        <v>0.255</v>
      </c>
      <c r="N76" s="2">
        <v>1.29132</v>
      </c>
      <c r="O76" s="2">
        <v>4</v>
      </c>
      <c r="P76" s="2">
        <v>33.25</v>
      </c>
      <c r="Q76" s="2">
        <v>0.13300000000000001</v>
      </c>
      <c r="R76" s="2">
        <v>1.42432</v>
      </c>
      <c r="S76" s="2" t="s">
        <v>771</v>
      </c>
      <c r="T76" s="2" t="s">
        <v>757</v>
      </c>
    </row>
    <row r="77" spans="1:20" ht="24" x14ac:dyDescent="0.25">
      <c r="A77" s="3">
        <v>74</v>
      </c>
      <c r="B77" s="3">
        <v>2023</v>
      </c>
      <c r="C77" s="3" t="s">
        <v>32</v>
      </c>
      <c r="D77" s="3" t="s">
        <v>841</v>
      </c>
      <c r="E77" s="3" t="s">
        <v>738</v>
      </c>
      <c r="F77" s="3" t="s">
        <v>763</v>
      </c>
      <c r="G77" s="3" t="s">
        <v>743</v>
      </c>
      <c r="H77" s="3" t="s">
        <v>760</v>
      </c>
      <c r="I77" s="3" t="s">
        <v>751</v>
      </c>
      <c r="J77" s="3" t="s">
        <v>752</v>
      </c>
      <c r="K77" s="3">
        <v>92.2</v>
      </c>
      <c r="L77" s="3" t="s">
        <v>30</v>
      </c>
      <c r="M77" s="3">
        <v>0.58499999999999996</v>
      </c>
      <c r="N77" s="3">
        <v>5.3940000000000002E-2</v>
      </c>
      <c r="O77" s="3">
        <v>4</v>
      </c>
      <c r="P77" s="3">
        <v>15.31</v>
      </c>
      <c r="Q77" s="3">
        <v>6.1240000000000003E-2</v>
      </c>
      <c r="R77" s="3">
        <v>0.11518</v>
      </c>
      <c r="S77" s="3" t="s">
        <v>735</v>
      </c>
      <c r="T77" s="3" t="s">
        <v>757</v>
      </c>
    </row>
    <row r="78" spans="1:20" x14ac:dyDescent="0.25">
      <c r="A78" s="2">
        <v>75</v>
      </c>
      <c r="B78" s="2">
        <v>2023</v>
      </c>
      <c r="C78" s="2" t="s">
        <v>39</v>
      </c>
      <c r="D78" s="2" t="s">
        <v>842</v>
      </c>
      <c r="E78" s="2" t="s">
        <v>738</v>
      </c>
      <c r="F78" s="2" t="s">
        <v>726</v>
      </c>
      <c r="G78" s="2" t="s">
        <v>765</v>
      </c>
      <c r="H78" s="2" t="s">
        <v>759</v>
      </c>
      <c r="I78" s="2" t="s">
        <v>751</v>
      </c>
      <c r="J78" s="2" t="s">
        <v>752</v>
      </c>
      <c r="K78" s="2">
        <v>7086.9</v>
      </c>
      <c r="L78" s="2" t="s">
        <v>30</v>
      </c>
      <c r="M78" s="2">
        <v>0.58499999999999996</v>
      </c>
      <c r="N78" s="2">
        <v>4.1458399999999997</v>
      </c>
      <c r="O78" s="2">
        <v>7</v>
      </c>
      <c r="P78" s="2">
        <v>26.34</v>
      </c>
      <c r="Q78" s="2">
        <v>0.18437999999999999</v>
      </c>
      <c r="R78" s="2">
        <v>4.3302199999999997</v>
      </c>
      <c r="S78" s="2" t="s">
        <v>773</v>
      </c>
      <c r="T78" s="2" t="s">
        <v>736</v>
      </c>
    </row>
    <row r="79" spans="1:20" ht="24" x14ac:dyDescent="0.25">
      <c r="A79" s="3">
        <v>76</v>
      </c>
      <c r="B79" s="3">
        <v>2023</v>
      </c>
      <c r="C79" s="3" t="s">
        <v>46</v>
      </c>
      <c r="D79" s="3" t="s">
        <v>843</v>
      </c>
      <c r="E79" s="3" t="s">
        <v>725</v>
      </c>
      <c r="F79" s="3" t="s">
        <v>726</v>
      </c>
      <c r="G79" s="3" t="s">
        <v>727</v>
      </c>
      <c r="H79" s="3" t="s">
        <v>756</v>
      </c>
      <c r="I79" s="3" t="s">
        <v>548</v>
      </c>
      <c r="J79" s="3" t="s">
        <v>728</v>
      </c>
      <c r="K79" s="3">
        <v>7456.2</v>
      </c>
      <c r="L79" s="3" t="s">
        <v>38</v>
      </c>
      <c r="M79" s="3">
        <v>4.1000000000000002E-2</v>
      </c>
      <c r="N79" s="3">
        <v>0.30570000000000003</v>
      </c>
      <c r="O79" s="3">
        <v>3</v>
      </c>
      <c r="P79" s="3">
        <v>16.22</v>
      </c>
      <c r="Q79" s="3">
        <v>4.8660000000000002E-2</v>
      </c>
      <c r="R79" s="3">
        <v>0.35436000000000001</v>
      </c>
      <c r="S79" s="3" t="s">
        <v>769</v>
      </c>
      <c r="T79" s="3" t="s">
        <v>757</v>
      </c>
    </row>
    <row r="80" spans="1:20" ht="24" x14ac:dyDescent="0.25">
      <c r="A80" s="2">
        <v>77</v>
      </c>
      <c r="B80" s="2">
        <v>2023</v>
      </c>
      <c r="C80" s="2" t="s">
        <v>22</v>
      </c>
      <c r="D80" s="2" t="s">
        <v>844</v>
      </c>
      <c r="E80" s="2" t="s">
        <v>777</v>
      </c>
      <c r="F80" s="2" t="s">
        <v>726</v>
      </c>
      <c r="G80" s="2" t="s">
        <v>727</v>
      </c>
      <c r="H80" s="2" t="s">
        <v>765</v>
      </c>
      <c r="I80" s="2" t="s">
        <v>761</v>
      </c>
      <c r="J80" s="2" t="s">
        <v>728</v>
      </c>
      <c r="K80" s="2">
        <v>8020.6</v>
      </c>
      <c r="L80" s="2" t="s">
        <v>38</v>
      </c>
      <c r="M80" s="2">
        <v>0.255</v>
      </c>
      <c r="N80" s="2">
        <v>2.0452499999999998</v>
      </c>
      <c r="O80" s="2">
        <v>4</v>
      </c>
      <c r="P80" s="2">
        <v>23.28</v>
      </c>
      <c r="Q80" s="2">
        <v>9.3119999999999994E-2</v>
      </c>
      <c r="R80" s="2">
        <v>2.1383700000000001</v>
      </c>
      <c r="S80" s="2" t="s">
        <v>781</v>
      </c>
      <c r="T80" s="2" t="s">
        <v>757</v>
      </c>
    </row>
    <row r="81" spans="1:20" x14ac:dyDescent="0.25">
      <c r="A81" s="3">
        <v>78</v>
      </c>
      <c r="B81" s="3">
        <v>2023</v>
      </c>
      <c r="C81" s="3" t="s">
        <v>32</v>
      </c>
      <c r="D81" s="3" t="s">
        <v>845</v>
      </c>
      <c r="E81" s="3" t="s">
        <v>788</v>
      </c>
      <c r="F81" s="3" t="s">
        <v>726</v>
      </c>
      <c r="G81" s="3" t="s">
        <v>803</v>
      </c>
      <c r="H81" s="3" t="s">
        <v>727</v>
      </c>
      <c r="I81" s="3" t="s">
        <v>548</v>
      </c>
      <c r="J81" s="3" t="s">
        <v>728</v>
      </c>
      <c r="K81" s="3">
        <v>7352.5</v>
      </c>
      <c r="L81" s="3" t="s">
        <v>30</v>
      </c>
      <c r="M81" s="3">
        <v>4.1000000000000002E-2</v>
      </c>
      <c r="N81" s="3">
        <v>0.30145</v>
      </c>
      <c r="O81" s="3">
        <v>2</v>
      </c>
      <c r="P81" s="3">
        <v>39.159999999999997</v>
      </c>
      <c r="Q81" s="3">
        <v>7.8320000000000001E-2</v>
      </c>
      <c r="R81" s="3">
        <v>0.37977</v>
      </c>
      <c r="S81" s="3" t="s">
        <v>747</v>
      </c>
      <c r="T81" s="3" t="s">
        <v>730</v>
      </c>
    </row>
    <row r="82" spans="1:20" x14ac:dyDescent="0.25">
      <c r="A82" s="2">
        <v>79</v>
      </c>
      <c r="B82" s="2">
        <v>2023</v>
      </c>
      <c r="C82" s="2" t="s">
        <v>39</v>
      </c>
      <c r="D82" s="2" t="s">
        <v>846</v>
      </c>
      <c r="E82" s="2" t="s">
        <v>777</v>
      </c>
      <c r="F82" s="2" t="s">
        <v>726</v>
      </c>
      <c r="G82" s="2" t="s">
        <v>746</v>
      </c>
      <c r="H82" s="2" t="s">
        <v>760</v>
      </c>
      <c r="I82" s="2" t="s">
        <v>744</v>
      </c>
      <c r="J82" s="2" t="s">
        <v>740</v>
      </c>
      <c r="K82" s="2">
        <v>10775.5</v>
      </c>
      <c r="L82" s="2" t="s">
        <v>30</v>
      </c>
      <c r="M82" s="2">
        <v>0.192</v>
      </c>
      <c r="N82" s="2">
        <v>2.0689000000000002</v>
      </c>
      <c r="O82" s="2">
        <v>1</v>
      </c>
      <c r="P82" s="2">
        <v>33.96</v>
      </c>
      <c r="Q82" s="2">
        <v>3.3959999999999997E-2</v>
      </c>
      <c r="R82" s="2">
        <v>2.1028600000000002</v>
      </c>
      <c r="S82" s="2" t="s">
        <v>771</v>
      </c>
      <c r="T82" s="2" t="s">
        <v>736</v>
      </c>
    </row>
    <row r="83" spans="1:20" x14ac:dyDescent="0.25">
      <c r="A83" s="3">
        <v>80</v>
      </c>
      <c r="B83" s="3">
        <v>2023</v>
      </c>
      <c r="C83" s="3" t="s">
        <v>46</v>
      </c>
      <c r="D83" s="3" t="s">
        <v>847</v>
      </c>
      <c r="E83" s="3" t="s">
        <v>793</v>
      </c>
      <c r="F83" s="3" t="s">
        <v>726</v>
      </c>
      <c r="G83" s="3" t="s">
        <v>759</v>
      </c>
      <c r="H83" s="3" t="s">
        <v>727</v>
      </c>
      <c r="I83" s="3" t="s">
        <v>548</v>
      </c>
      <c r="J83" s="3" t="s">
        <v>728</v>
      </c>
      <c r="K83" s="3">
        <v>3984</v>
      </c>
      <c r="L83" s="3" t="s">
        <v>30</v>
      </c>
      <c r="M83" s="3">
        <v>4.1000000000000002E-2</v>
      </c>
      <c r="N83" s="3">
        <v>0.16334000000000001</v>
      </c>
      <c r="O83" s="3">
        <v>6</v>
      </c>
      <c r="P83" s="3">
        <v>28.12</v>
      </c>
      <c r="Q83" s="3">
        <v>0.16872000000000001</v>
      </c>
      <c r="R83" s="3">
        <v>0.33206000000000002</v>
      </c>
      <c r="S83" s="3" t="s">
        <v>771</v>
      </c>
      <c r="T83" s="3" t="s">
        <v>730</v>
      </c>
    </row>
    <row r="84" spans="1:20" x14ac:dyDescent="0.25">
      <c r="A84" s="2">
        <v>81</v>
      </c>
      <c r="B84" s="2">
        <v>2023</v>
      </c>
      <c r="C84" s="2" t="s">
        <v>22</v>
      </c>
      <c r="D84" s="2" t="s">
        <v>848</v>
      </c>
      <c r="E84" s="2" t="s">
        <v>788</v>
      </c>
      <c r="F84" s="2" t="s">
        <v>726</v>
      </c>
      <c r="G84" s="2" t="s">
        <v>803</v>
      </c>
      <c r="H84" s="2" t="s">
        <v>764</v>
      </c>
      <c r="I84" s="2" t="s">
        <v>548</v>
      </c>
      <c r="J84" s="2" t="s">
        <v>728</v>
      </c>
      <c r="K84" s="2">
        <v>5153.3</v>
      </c>
      <c r="L84" s="2" t="s">
        <v>38</v>
      </c>
      <c r="M84" s="2">
        <v>4.1000000000000002E-2</v>
      </c>
      <c r="N84" s="2">
        <v>0.21129000000000001</v>
      </c>
      <c r="O84" s="2">
        <v>5</v>
      </c>
      <c r="P84" s="2">
        <v>21.49</v>
      </c>
      <c r="Q84" s="2">
        <v>0.10745</v>
      </c>
      <c r="R84" s="2">
        <v>0.31874000000000002</v>
      </c>
      <c r="S84" s="2" t="s">
        <v>735</v>
      </c>
      <c r="T84" s="2" t="s">
        <v>730</v>
      </c>
    </row>
    <row r="85" spans="1:20" x14ac:dyDescent="0.25">
      <c r="A85" s="3">
        <v>82</v>
      </c>
      <c r="B85" s="3">
        <v>2023</v>
      </c>
      <c r="C85" s="3" t="s">
        <v>32</v>
      </c>
      <c r="D85" s="3" t="s">
        <v>849</v>
      </c>
      <c r="E85" s="3" t="s">
        <v>793</v>
      </c>
      <c r="F85" s="3" t="s">
        <v>726</v>
      </c>
      <c r="G85" s="3" t="s">
        <v>727</v>
      </c>
      <c r="H85" s="3" t="s">
        <v>765</v>
      </c>
      <c r="I85" s="3" t="s">
        <v>751</v>
      </c>
      <c r="J85" s="3" t="s">
        <v>728</v>
      </c>
      <c r="K85" s="3">
        <v>10609.8</v>
      </c>
      <c r="L85" s="3" t="s">
        <v>30</v>
      </c>
      <c r="M85" s="3">
        <v>0.19500000000000001</v>
      </c>
      <c r="N85" s="3">
        <v>2.0689099999999998</v>
      </c>
      <c r="O85" s="3">
        <v>3</v>
      </c>
      <c r="P85" s="3">
        <v>32.71</v>
      </c>
      <c r="Q85" s="3">
        <v>9.8129999999999995E-2</v>
      </c>
      <c r="R85" s="3">
        <v>2.1670400000000001</v>
      </c>
      <c r="S85" s="3" t="s">
        <v>735</v>
      </c>
      <c r="T85" s="3" t="s">
        <v>736</v>
      </c>
    </row>
    <row r="86" spans="1:20" x14ac:dyDescent="0.25">
      <c r="A86" s="2">
        <v>83</v>
      </c>
      <c r="B86" s="2">
        <v>2023</v>
      </c>
      <c r="C86" s="2" t="s">
        <v>39</v>
      </c>
      <c r="D86" s="2" t="s">
        <v>850</v>
      </c>
      <c r="E86" s="2" t="s">
        <v>749</v>
      </c>
      <c r="F86" s="2" t="s">
        <v>726</v>
      </c>
      <c r="G86" s="2" t="s">
        <v>750</v>
      </c>
      <c r="H86" s="2" t="s">
        <v>727</v>
      </c>
      <c r="I86" s="2" t="s">
        <v>761</v>
      </c>
      <c r="J86" s="2" t="s">
        <v>752</v>
      </c>
      <c r="K86" s="2">
        <v>8862.7000000000007</v>
      </c>
      <c r="L86" s="2" t="s">
        <v>38</v>
      </c>
      <c r="M86" s="2">
        <v>0.51</v>
      </c>
      <c r="N86" s="2">
        <v>4.5199800000000003</v>
      </c>
      <c r="O86" s="2">
        <v>3</v>
      </c>
      <c r="P86" s="2">
        <v>34.99</v>
      </c>
      <c r="Q86" s="2">
        <v>0.10496999999999999</v>
      </c>
      <c r="R86" s="2">
        <v>4.6249500000000001</v>
      </c>
      <c r="S86" s="2" t="s">
        <v>729</v>
      </c>
      <c r="T86" s="2" t="s">
        <v>736</v>
      </c>
    </row>
    <row r="87" spans="1:20" x14ac:dyDescent="0.25">
      <c r="A87" s="3">
        <v>84</v>
      </c>
      <c r="B87" s="3">
        <v>2023</v>
      </c>
      <c r="C87" s="3" t="s">
        <v>46</v>
      </c>
      <c r="D87" s="3" t="s">
        <v>851</v>
      </c>
      <c r="E87" s="3" t="s">
        <v>755</v>
      </c>
      <c r="F87" s="3" t="s">
        <v>763</v>
      </c>
      <c r="G87" s="3" t="s">
        <v>778</v>
      </c>
      <c r="H87" s="3" t="s">
        <v>765</v>
      </c>
      <c r="I87" s="3" t="s">
        <v>751</v>
      </c>
      <c r="J87" s="3" t="s">
        <v>752</v>
      </c>
      <c r="K87" s="3">
        <v>185</v>
      </c>
      <c r="L87" s="3" t="s">
        <v>38</v>
      </c>
      <c r="M87" s="3">
        <v>0.58499999999999996</v>
      </c>
      <c r="N87" s="3">
        <v>0.10822</v>
      </c>
      <c r="O87" s="3">
        <v>3</v>
      </c>
      <c r="P87" s="3">
        <v>32.25</v>
      </c>
      <c r="Q87" s="3">
        <v>9.6750000000000003E-2</v>
      </c>
      <c r="R87" s="3">
        <v>0.20497000000000001</v>
      </c>
      <c r="S87" s="3" t="s">
        <v>747</v>
      </c>
      <c r="T87" s="3" t="s">
        <v>736</v>
      </c>
    </row>
    <row r="88" spans="1:20" ht="24" x14ac:dyDescent="0.25">
      <c r="A88" s="2">
        <v>85</v>
      </c>
      <c r="B88" s="2">
        <v>2023</v>
      </c>
      <c r="C88" s="2" t="s">
        <v>22</v>
      </c>
      <c r="D88" s="2" t="s">
        <v>852</v>
      </c>
      <c r="E88" s="2" t="s">
        <v>788</v>
      </c>
      <c r="F88" s="2" t="s">
        <v>726</v>
      </c>
      <c r="G88" s="2" t="s">
        <v>768</v>
      </c>
      <c r="H88" s="2" t="s">
        <v>750</v>
      </c>
      <c r="I88" s="2" t="s">
        <v>790</v>
      </c>
      <c r="J88" s="2" t="s">
        <v>740</v>
      </c>
      <c r="K88" s="2">
        <v>3920.9</v>
      </c>
      <c r="L88" s="2" t="s">
        <v>30</v>
      </c>
      <c r="M88" s="2">
        <v>0.21</v>
      </c>
      <c r="N88" s="2">
        <v>0.82338999999999996</v>
      </c>
      <c r="O88" s="2">
        <v>0</v>
      </c>
      <c r="P88" s="2">
        <v>17.850000000000001</v>
      </c>
      <c r="Q88" s="2">
        <v>0</v>
      </c>
      <c r="R88" s="2">
        <v>0.82338999999999996</v>
      </c>
      <c r="S88" s="2" t="s">
        <v>781</v>
      </c>
      <c r="T88" s="2" t="s">
        <v>757</v>
      </c>
    </row>
    <row r="89" spans="1:20" x14ac:dyDescent="0.25">
      <c r="A89" s="3">
        <v>86</v>
      </c>
      <c r="B89" s="3">
        <v>2023</v>
      </c>
      <c r="C89" s="3" t="s">
        <v>32</v>
      </c>
      <c r="D89" s="3" t="s">
        <v>853</v>
      </c>
      <c r="E89" s="3" t="s">
        <v>742</v>
      </c>
      <c r="F89" s="3" t="s">
        <v>726</v>
      </c>
      <c r="G89" s="3" t="s">
        <v>756</v>
      </c>
      <c r="H89" s="3" t="s">
        <v>764</v>
      </c>
      <c r="I89" s="3" t="s">
        <v>744</v>
      </c>
      <c r="J89" s="3" t="s">
        <v>740</v>
      </c>
      <c r="K89" s="3">
        <v>10014.200000000001</v>
      </c>
      <c r="L89" s="3" t="s">
        <v>38</v>
      </c>
      <c r="M89" s="3">
        <v>0.192</v>
      </c>
      <c r="N89" s="3">
        <v>1.9227300000000001</v>
      </c>
      <c r="O89" s="3">
        <v>7</v>
      </c>
      <c r="P89" s="3">
        <v>37.9</v>
      </c>
      <c r="Q89" s="3">
        <v>0.26529999999999998</v>
      </c>
      <c r="R89" s="3">
        <v>2.1880299999999999</v>
      </c>
      <c r="S89" s="3" t="s">
        <v>781</v>
      </c>
      <c r="T89" s="3" t="s">
        <v>736</v>
      </c>
    </row>
    <row r="90" spans="1:20" x14ac:dyDescent="0.25">
      <c r="A90" s="2">
        <v>87</v>
      </c>
      <c r="B90" s="2">
        <v>2023</v>
      </c>
      <c r="C90" s="2" t="s">
        <v>39</v>
      </c>
      <c r="D90" s="2" t="s">
        <v>854</v>
      </c>
      <c r="E90" s="2" t="s">
        <v>749</v>
      </c>
      <c r="F90" s="2" t="s">
        <v>726</v>
      </c>
      <c r="G90" s="2" t="s">
        <v>803</v>
      </c>
      <c r="H90" s="2" t="s">
        <v>732</v>
      </c>
      <c r="I90" s="2" t="s">
        <v>734</v>
      </c>
      <c r="J90" s="2" t="s">
        <v>728</v>
      </c>
      <c r="K90" s="2">
        <v>10710.1</v>
      </c>
      <c r="L90" s="2" t="s">
        <v>30</v>
      </c>
      <c r="M90" s="2">
        <v>8.8999999999999996E-2</v>
      </c>
      <c r="N90" s="2">
        <v>0.95320000000000005</v>
      </c>
      <c r="O90" s="2">
        <v>5</v>
      </c>
      <c r="P90" s="2">
        <v>26.56</v>
      </c>
      <c r="Q90" s="2">
        <v>0.1328</v>
      </c>
      <c r="R90" s="2">
        <v>1.0860000000000001</v>
      </c>
      <c r="S90" s="2" t="s">
        <v>747</v>
      </c>
      <c r="T90" s="2" t="s">
        <v>736</v>
      </c>
    </row>
    <row r="91" spans="1:20" ht="24" x14ac:dyDescent="0.25">
      <c r="A91" s="3">
        <v>88</v>
      </c>
      <c r="B91" s="3">
        <v>2023</v>
      </c>
      <c r="C91" s="3" t="s">
        <v>46</v>
      </c>
      <c r="D91" s="3" t="s">
        <v>855</v>
      </c>
      <c r="E91" s="3" t="s">
        <v>788</v>
      </c>
      <c r="F91" s="3" t="s">
        <v>726</v>
      </c>
      <c r="G91" s="3" t="s">
        <v>778</v>
      </c>
      <c r="H91" s="3" t="s">
        <v>803</v>
      </c>
      <c r="I91" s="3" t="s">
        <v>744</v>
      </c>
      <c r="J91" s="3" t="s">
        <v>740</v>
      </c>
      <c r="K91" s="3">
        <v>6684.4</v>
      </c>
      <c r="L91" s="3" t="s">
        <v>38</v>
      </c>
      <c r="M91" s="3">
        <v>0.192</v>
      </c>
      <c r="N91" s="3">
        <v>1.2834000000000001</v>
      </c>
      <c r="O91" s="3">
        <v>0</v>
      </c>
      <c r="P91" s="3">
        <v>20.21</v>
      </c>
      <c r="Q91" s="3">
        <v>0</v>
      </c>
      <c r="R91" s="3">
        <v>1.2834000000000001</v>
      </c>
      <c r="S91" s="3" t="s">
        <v>771</v>
      </c>
      <c r="T91" s="3" t="s">
        <v>757</v>
      </c>
    </row>
    <row r="92" spans="1:20" x14ac:dyDescent="0.25">
      <c r="A92" s="2">
        <v>89</v>
      </c>
      <c r="B92" s="2">
        <v>2023</v>
      </c>
      <c r="C92" s="2" t="s">
        <v>22</v>
      </c>
      <c r="D92" s="2" t="s">
        <v>856</v>
      </c>
      <c r="E92" s="2" t="s">
        <v>725</v>
      </c>
      <c r="F92" s="2" t="s">
        <v>726</v>
      </c>
      <c r="G92" s="2" t="s">
        <v>759</v>
      </c>
      <c r="H92" s="2" t="s">
        <v>759</v>
      </c>
      <c r="I92" s="2" t="s">
        <v>548</v>
      </c>
      <c r="J92" s="2" t="s">
        <v>728</v>
      </c>
      <c r="K92" s="2">
        <v>10096.799999999999</v>
      </c>
      <c r="L92" s="2" t="s">
        <v>38</v>
      </c>
      <c r="M92" s="2">
        <v>4.1000000000000002E-2</v>
      </c>
      <c r="N92" s="2">
        <v>0.41397</v>
      </c>
      <c r="O92" s="2">
        <v>5</v>
      </c>
      <c r="P92" s="2">
        <v>39.590000000000003</v>
      </c>
      <c r="Q92" s="2">
        <v>0.19794999999999999</v>
      </c>
      <c r="R92" s="2">
        <v>0.61192000000000002</v>
      </c>
      <c r="S92" s="2" t="s">
        <v>781</v>
      </c>
      <c r="T92" s="2" t="s">
        <v>736</v>
      </c>
    </row>
    <row r="93" spans="1:20" ht="24" x14ac:dyDescent="0.25">
      <c r="A93" s="3">
        <v>90</v>
      </c>
      <c r="B93" s="3">
        <v>2023</v>
      </c>
      <c r="C93" s="3" t="s">
        <v>32</v>
      </c>
      <c r="D93" s="3" t="s">
        <v>857</v>
      </c>
      <c r="E93" s="3" t="s">
        <v>788</v>
      </c>
      <c r="F93" s="3" t="s">
        <v>726</v>
      </c>
      <c r="G93" s="3" t="s">
        <v>732</v>
      </c>
      <c r="H93" s="3" t="s">
        <v>727</v>
      </c>
      <c r="I93" s="3" t="s">
        <v>761</v>
      </c>
      <c r="J93" s="3" t="s">
        <v>752</v>
      </c>
      <c r="K93" s="3">
        <v>10381.9</v>
      </c>
      <c r="L93" s="3" t="s">
        <v>38</v>
      </c>
      <c r="M93" s="3">
        <v>0.51</v>
      </c>
      <c r="N93" s="3">
        <v>5.2947699999999998</v>
      </c>
      <c r="O93" s="3">
        <v>4</v>
      </c>
      <c r="P93" s="3">
        <v>32.630000000000003</v>
      </c>
      <c r="Q93" s="3">
        <v>0.13052</v>
      </c>
      <c r="R93" s="3">
        <v>5.4252900000000004</v>
      </c>
      <c r="S93" s="3" t="s">
        <v>753</v>
      </c>
      <c r="T93" s="3" t="s">
        <v>757</v>
      </c>
    </row>
    <row r="94" spans="1:20" ht="24" x14ac:dyDescent="0.25">
      <c r="A94" s="2">
        <v>91</v>
      </c>
      <c r="B94" s="2">
        <v>2023</v>
      </c>
      <c r="C94" s="2" t="s">
        <v>39</v>
      </c>
      <c r="D94" s="2" t="s">
        <v>858</v>
      </c>
      <c r="E94" s="2" t="s">
        <v>755</v>
      </c>
      <c r="F94" s="2" t="s">
        <v>726</v>
      </c>
      <c r="G94" s="2" t="s">
        <v>33</v>
      </c>
      <c r="H94" s="2" t="s">
        <v>733</v>
      </c>
      <c r="I94" s="2" t="s">
        <v>734</v>
      </c>
      <c r="J94" s="2" t="s">
        <v>728</v>
      </c>
      <c r="K94" s="2">
        <v>10530.7</v>
      </c>
      <c r="L94" s="2" t="s">
        <v>38</v>
      </c>
      <c r="M94" s="2">
        <v>8.8999999999999996E-2</v>
      </c>
      <c r="N94" s="2">
        <v>0.93723000000000001</v>
      </c>
      <c r="O94" s="2">
        <v>5</v>
      </c>
      <c r="P94" s="2">
        <v>26.3</v>
      </c>
      <c r="Q94" s="2">
        <v>0.13150000000000001</v>
      </c>
      <c r="R94" s="2">
        <v>1.06873</v>
      </c>
      <c r="S94" s="2" t="s">
        <v>781</v>
      </c>
      <c r="T94" s="2" t="s">
        <v>757</v>
      </c>
    </row>
    <row r="95" spans="1:20" ht="24" x14ac:dyDescent="0.25">
      <c r="A95" s="3">
        <v>92</v>
      </c>
      <c r="B95" s="3">
        <v>2023</v>
      </c>
      <c r="C95" s="3" t="s">
        <v>46</v>
      </c>
      <c r="D95" s="3" t="s">
        <v>859</v>
      </c>
      <c r="E95" s="3" t="s">
        <v>738</v>
      </c>
      <c r="F95" s="3" t="s">
        <v>726</v>
      </c>
      <c r="G95" s="3" t="s">
        <v>733</v>
      </c>
      <c r="H95" s="3" t="s">
        <v>727</v>
      </c>
      <c r="I95" s="3" t="s">
        <v>744</v>
      </c>
      <c r="J95" s="3" t="s">
        <v>740</v>
      </c>
      <c r="K95" s="3">
        <v>9430.1</v>
      </c>
      <c r="L95" s="3" t="s">
        <v>38</v>
      </c>
      <c r="M95" s="3">
        <v>0.192</v>
      </c>
      <c r="N95" s="3">
        <v>1.8105800000000001</v>
      </c>
      <c r="O95" s="3">
        <v>3</v>
      </c>
      <c r="P95" s="3">
        <v>37.83</v>
      </c>
      <c r="Q95" s="3">
        <v>0.11348999999999999</v>
      </c>
      <c r="R95" s="3">
        <v>1.9240699999999999</v>
      </c>
      <c r="S95" s="3" t="s">
        <v>781</v>
      </c>
      <c r="T95" s="3" t="s">
        <v>757</v>
      </c>
    </row>
    <row r="96" spans="1:20" ht="24" x14ac:dyDescent="0.25">
      <c r="A96" s="2">
        <v>93</v>
      </c>
      <c r="B96" s="2">
        <v>2023</v>
      </c>
      <c r="C96" s="2" t="s">
        <v>22</v>
      </c>
      <c r="D96" s="2" t="s">
        <v>860</v>
      </c>
      <c r="E96" s="2" t="s">
        <v>725</v>
      </c>
      <c r="F96" s="2" t="s">
        <v>726</v>
      </c>
      <c r="G96" s="2" t="s">
        <v>778</v>
      </c>
      <c r="H96" s="2" t="s">
        <v>743</v>
      </c>
      <c r="I96" s="2" t="s">
        <v>744</v>
      </c>
      <c r="J96" s="2" t="s">
        <v>740</v>
      </c>
      <c r="K96" s="2">
        <v>11087.5</v>
      </c>
      <c r="L96" s="2" t="s">
        <v>30</v>
      </c>
      <c r="M96" s="2">
        <v>0.192</v>
      </c>
      <c r="N96" s="2">
        <v>2.1288</v>
      </c>
      <c r="O96" s="2">
        <v>4</v>
      </c>
      <c r="P96" s="2">
        <v>34.39</v>
      </c>
      <c r="Q96" s="2">
        <v>0.13755999999999999</v>
      </c>
      <c r="R96" s="2">
        <v>2.2663600000000002</v>
      </c>
      <c r="S96" s="2" t="s">
        <v>781</v>
      </c>
      <c r="T96" s="2" t="s">
        <v>757</v>
      </c>
    </row>
    <row r="97" spans="1:20" x14ac:dyDescent="0.25">
      <c r="A97" s="3">
        <v>94</v>
      </c>
      <c r="B97" s="3">
        <v>2023</v>
      </c>
      <c r="C97" s="3" t="s">
        <v>32</v>
      </c>
      <c r="D97" s="3" t="s">
        <v>861</v>
      </c>
      <c r="E97" s="3" t="s">
        <v>742</v>
      </c>
      <c r="F97" s="3" t="s">
        <v>726</v>
      </c>
      <c r="G97" s="3" t="s">
        <v>756</v>
      </c>
      <c r="H97" s="3" t="s">
        <v>743</v>
      </c>
      <c r="I97" s="3" t="s">
        <v>761</v>
      </c>
      <c r="J97" s="3" t="s">
        <v>728</v>
      </c>
      <c r="K97" s="3">
        <v>5539.5</v>
      </c>
      <c r="L97" s="3" t="s">
        <v>30</v>
      </c>
      <c r="M97" s="3">
        <v>0.255</v>
      </c>
      <c r="N97" s="3">
        <v>1.4125700000000001</v>
      </c>
      <c r="O97" s="3">
        <v>1</v>
      </c>
      <c r="P97" s="3">
        <v>15.1</v>
      </c>
      <c r="Q97" s="3">
        <v>1.5100000000000001E-2</v>
      </c>
      <c r="R97" s="3">
        <v>1.42767</v>
      </c>
      <c r="S97" s="3" t="s">
        <v>729</v>
      </c>
      <c r="T97" s="3" t="s">
        <v>730</v>
      </c>
    </row>
    <row r="98" spans="1:20" ht="24" x14ac:dyDescent="0.25">
      <c r="A98" s="2">
        <v>95</v>
      </c>
      <c r="B98" s="2">
        <v>2023</v>
      </c>
      <c r="C98" s="2" t="s">
        <v>39</v>
      </c>
      <c r="D98" s="2" t="s">
        <v>862</v>
      </c>
      <c r="E98" s="2" t="s">
        <v>755</v>
      </c>
      <c r="F98" s="2" t="s">
        <v>726</v>
      </c>
      <c r="G98" s="2" t="s">
        <v>756</v>
      </c>
      <c r="H98" s="2" t="s">
        <v>803</v>
      </c>
      <c r="I98" s="2" t="s">
        <v>761</v>
      </c>
      <c r="J98" s="2" t="s">
        <v>728</v>
      </c>
      <c r="K98" s="2">
        <v>1282.0999999999999</v>
      </c>
      <c r="L98" s="2" t="s">
        <v>30</v>
      </c>
      <c r="M98" s="2">
        <v>0.255</v>
      </c>
      <c r="N98" s="2">
        <v>0.32694000000000001</v>
      </c>
      <c r="O98" s="2">
        <v>4</v>
      </c>
      <c r="P98" s="2">
        <v>15.56</v>
      </c>
      <c r="Q98" s="2">
        <v>6.2239999999999997E-2</v>
      </c>
      <c r="R98" s="2">
        <v>0.38918000000000003</v>
      </c>
      <c r="S98" s="2" t="s">
        <v>729</v>
      </c>
      <c r="T98" s="2" t="s">
        <v>757</v>
      </c>
    </row>
    <row r="99" spans="1:20" ht="24" x14ac:dyDescent="0.25">
      <c r="A99" s="3">
        <v>96</v>
      </c>
      <c r="B99" s="3">
        <v>2023</v>
      </c>
      <c r="C99" s="3" t="s">
        <v>46</v>
      </c>
      <c r="D99" s="3" t="s">
        <v>863</v>
      </c>
      <c r="E99" s="3" t="s">
        <v>777</v>
      </c>
      <c r="F99" s="3" t="s">
        <v>726</v>
      </c>
      <c r="G99" s="3" t="s">
        <v>746</v>
      </c>
      <c r="H99" s="3" t="s">
        <v>764</v>
      </c>
      <c r="I99" s="3" t="s">
        <v>751</v>
      </c>
      <c r="J99" s="3" t="s">
        <v>752</v>
      </c>
      <c r="K99" s="3">
        <v>3474.5</v>
      </c>
      <c r="L99" s="3" t="s">
        <v>30</v>
      </c>
      <c r="M99" s="3">
        <v>0.58499999999999996</v>
      </c>
      <c r="N99" s="3">
        <v>2.0325799999999998</v>
      </c>
      <c r="O99" s="3">
        <v>5</v>
      </c>
      <c r="P99" s="3">
        <v>34.32</v>
      </c>
      <c r="Q99" s="3">
        <v>0.1716</v>
      </c>
      <c r="R99" s="3">
        <v>2.20418</v>
      </c>
      <c r="S99" s="3" t="s">
        <v>747</v>
      </c>
      <c r="T99" s="3" t="s">
        <v>757</v>
      </c>
    </row>
    <row r="100" spans="1:20" x14ac:dyDescent="0.25">
      <c r="A100" s="2">
        <v>97</v>
      </c>
      <c r="B100" s="2">
        <v>2023</v>
      </c>
      <c r="C100" s="2" t="s">
        <v>22</v>
      </c>
      <c r="D100" s="2" t="s">
        <v>864</v>
      </c>
      <c r="E100" s="2" t="s">
        <v>788</v>
      </c>
      <c r="F100" s="2" t="s">
        <v>726</v>
      </c>
      <c r="G100" s="2" t="s">
        <v>733</v>
      </c>
      <c r="H100" s="2" t="s">
        <v>768</v>
      </c>
      <c r="I100" s="2" t="s">
        <v>761</v>
      </c>
      <c r="J100" s="2" t="s">
        <v>728</v>
      </c>
      <c r="K100" s="2">
        <v>11501.7</v>
      </c>
      <c r="L100" s="2" t="s">
        <v>38</v>
      </c>
      <c r="M100" s="2">
        <v>0.255</v>
      </c>
      <c r="N100" s="2">
        <v>2.9329299999999998</v>
      </c>
      <c r="O100" s="2">
        <v>1</v>
      </c>
      <c r="P100" s="2">
        <v>20.16</v>
      </c>
      <c r="Q100" s="2">
        <v>2.0160000000000001E-2</v>
      </c>
      <c r="R100" s="2">
        <v>2.95309</v>
      </c>
      <c r="S100" s="2" t="s">
        <v>781</v>
      </c>
      <c r="T100" s="2" t="s">
        <v>736</v>
      </c>
    </row>
    <row r="101" spans="1:20" ht="24" x14ac:dyDescent="0.25">
      <c r="A101" s="3">
        <v>98</v>
      </c>
      <c r="B101" s="3">
        <v>2023</v>
      </c>
      <c r="C101" s="3" t="s">
        <v>32</v>
      </c>
      <c r="D101" s="3" t="s">
        <v>865</v>
      </c>
      <c r="E101" s="3" t="s">
        <v>788</v>
      </c>
      <c r="F101" s="3" t="s">
        <v>726</v>
      </c>
      <c r="G101" s="3" t="s">
        <v>733</v>
      </c>
      <c r="H101" s="3" t="s">
        <v>760</v>
      </c>
      <c r="I101" s="3" t="s">
        <v>548</v>
      </c>
      <c r="J101" s="3" t="s">
        <v>728</v>
      </c>
      <c r="K101" s="3">
        <v>6910.3</v>
      </c>
      <c r="L101" s="3" t="s">
        <v>30</v>
      </c>
      <c r="M101" s="3">
        <v>4.1000000000000002E-2</v>
      </c>
      <c r="N101" s="3">
        <v>0.28332000000000002</v>
      </c>
      <c r="O101" s="3">
        <v>2</v>
      </c>
      <c r="P101" s="3">
        <v>16.78</v>
      </c>
      <c r="Q101" s="3">
        <v>3.356E-2</v>
      </c>
      <c r="R101" s="3">
        <v>0.31688</v>
      </c>
      <c r="S101" s="3" t="s">
        <v>781</v>
      </c>
      <c r="T101" s="3" t="s">
        <v>757</v>
      </c>
    </row>
    <row r="102" spans="1:20" x14ac:dyDescent="0.25">
      <c r="A102" s="2">
        <v>99</v>
      </c>
      <c r="B102" s="2">
        <v>2023</v>
      </c>
      <c r="C102" s="2" t="s">
        <v>39</v>
      </c>
      <c r="D102" s="2" t="s">
        <v>866</v>
      </c>
      <c r="E102" s="2" t="s">
        <v>742</v>
      </c>
      <c r="F102" s="2" t="s">
        <v>726</v>
      </c>
      <c r="G102" s="2" t="s">
        <v>765</v>
      </c>
      <c r="H102" s="2" t="s">
        <v>750</v>
      </c>
      <c r="I102" s="2" t="s">
        <v>734</v>
      </c>
      <c r="J102" s="2" t="s">
        <v>728</v>
      </c>
      <c r="K102" s="2">
        <v>10844.3</v>
      </c>
      <c r="L102" s="2" t="s">
        <v>38</v>
      </c>
      <c r="M102" s="2">
        <v>8.8999999999999996E-2</v>
      </c>
      <c r="N102" s="2">
        <v>0.96514</v>
      </c>
      <c r="O102" s="2">
        <v>0</v>
      </c>
      <c r="P102" s="2">
        <v>17.649999999999999</v>
      </c>
      <c r="Q102" s="2">
        <v>0</v>
      </c>
      <c r="R102" s="2">
        <v>0.96514</v>
      </c>
      <c r="S102" s="2" t="s">
        <v>781</v>
      </c>
      <c r="T102" s="2" t="s">
        <v>736</v>
      </c>
    </row>
    <row r="103" spans="1:20" x14ac:dyDescent="0.25">
      <c r="A103" s="3">
        <v>100</v>
      </c>
      <c r="B103" s="3">
        <v>2023</v>
      </c>
      <c r="C103" s="3" t="s">
        <v>46</v>
      </c>
      <c r="D103" s="3" t="s">
        <v>867</v>
      </c>
      <c r="E103" s="3" t="s">
        <v>793</v>
      </c>
      <c r="F103" s="3" t="s">
        <v>726</v>
      </c>
      <c r="G103" s="3" t="s">
        <v>732</v>
      </c>
      <c r="H103" s="3" t="s">
        <v>778</v>
      </c>
      <c r="I103" s="3" t="s">
        <v>734</v>
      </c>
      <c r="J103" s="3" t="s">
        <v>728</v>
      </c>
      <c r="K103" s="3">
        <v>7415</v>
      </c>
      <c r="L103" s="3" t="s">
        <v>30</v>
      </c>
      <c r="M103" s="3">
        <v>8.8999999999999996E-2</v>
      </c>
      <c r="N103" s="3">
        <v>0.65993000000000002</v>
      </c>
      <c r="O103" s="3">
        <v>4</v>
      </c>
      <c r="P103" s="3">
        <v>23.31</v>
      </c>
      <c r="Q103" s="3">
        <v>9.3240000000000003E-2</v>
      </c>
      <c r="R103" s="3">
        <v>0.75317000000000001</v>
      </c>
      <c r="S103" s="3" t="s">
        <v>735</v>
      </c>
      <c r="T103" s="3" t="s">
        <v>736</v>
      </c>
    </row>
  </sheetData>
  <autoFilter ref="A3:T3" xr:uid="{00000000-0009-0000-0000-000005000000}"/>
  <mergeCells count="2">
    <mergeCell ref="A1:P1"/>
    <mergeCell ref="A2:P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T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868</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38.25" x14ac:dyDescent="0.25">
      <c r="A3" s="1" t="s">
        <v>2</v>
      </c>
      <c r="B3" s="1" t="s">
        <v>3</v>
      </c>
      <c r="C3" s="1" t="s">
        <v>4</v>
      </c>
      <c r="D3" s="1" t="s">
        <v>709</v>
      </c>
      <c r="E3" s="1" t="s">
        <v>710</v>
      </c>
      <c r="F3" s="1" t="s">
        <v>869</v>
      </c>
      <c r="G3" s="1" t="s">
        <v>490</v>
      </c>
      <c r="H3" s="1" t="s">
        <v>870</v>
      </c>
      <c r="I3" s="1" t="s">
        <v>871</v>
      </c>
      <c r="J3" s="1" t="s">
        <v>872</v>
      </c>
      <c r="K3" s="1" t="s">
        <v>873</v>
      </c>
      <c r="L3" s="1" t="s">
        <v>874</v>
      </c>
      <c r="M3" s="1" t="s">
        <v>875</v>
      </c>
      <c r="N3" s="1" t="s">
        <v>876</v>
      </c>
      <c r="O3" s="1" t="s">
        <v>877</v>
      </c>
      <c r="P3" s="1" t="s">
        <v>878</v>
      </c>
      <c r="Q3" s="1" t="s">
        <v>879</v>
      </c>
      <c r="R3" s="1" t="s">
        <v>880</v>
      </c>
      <c r="S3" s="1" t="s">
        <v>881</v>
      </c>
      <c r="T3" s="1" t="s">
        <v>500</v>
      </c>
    </row>
    <row r="4" spans="1:20" x14ac:dyDescent="0.25">
      <c r="A4" s="2">
        <v>1</v>
      </c>
      <c r="B4" s="2">
        <v>2023</v>
      </c>
      <c r="C4" s="2" t="s">
        <v>22</v>
      </c>
      <c r="D4" s="2" t="s">
        <v>882</v>
      </c>
      <c r="E4" s="2" t="s">
        <v>883</v>
      </c>
      <c r="F4" s="2" t="s">
        <v>884</v>
      </c>
      <c r="G4" s="2" t="s">
        <v>154</v>
      </c>
      <c r="H4" s="2" t="s">
        <v>885</v>
      </c>
      <c r="I4" s="2">
        <v>1</v>
      </c>
      <c r="J4" s="2">
        <v>49.1</v>
      </c>
      <c r="K4" s="2">
        <v>49</v>
      </c>
      <c r="L4" s="2">
        <v>4811.8</v>
      </c>
      <c r="M4" s="2">
        <v>6.2E-2</v>
      </c>
      <c r="N4" s="2">
        <v>0.29832999999999998</v>
      </c>
      <c r="O4" s="2">
        <v>3</v>
      </c>
      <c r="P4" s="2">
        <v>2.58</v>
      </c>
      <c r="Q4" s="2">
        <v>0.49590000000000001</v>
      </c>
      <c r="R4" s="2">
        <v>0.18808</v>
      </c>
      <c r="S4" s="2">
        <v>0.48641000000000001</v>
      </c>
      <c r="T4" s="2" t="s">
        <v>886</v>
      </c>
    </row>
    <row r="5" spans="1:20" x14ac:dyDescent="0.25">
      <c r="A5" s="3">
        <v>2</v>
      </c>
      <c r="B5" s="3">
        <v>2023</v>
      </c>
      <c r="C5" s="3" t="s">
        <v>32</v>
      </c>
      <c r="D5" s="3" t="s">
        <v>887</v>
      </c>
      <c r="E5" s="3" t="s">
        <v>788</v>
      </c>
      <c r="F5" s="3" t="s">
        <v>888</v>
      </c>
      <c r="G5" s="3" t="s">
        <v>96</v>
      </c>
      <c r="H5" s="3" t="s">
        <v>889</v>
      </c>
      <c r="I5" s="3">
        <v>2</v>
      </c>
      <c r="J5" s="3">
        <v>51.9</v>
      </c>
      <c r="K5" s="3">
        <v>48</v>
      </c>
      <c r="L5" s="3">
        <v>9964.7999999999993</v>
      </c>
      <c r="M5" s="3">
        <v>0.113</v>
      </c>
      <c r="N5" s="3">
        <v>1.12602</v>
      </c>
      <c r="O5" s="3">
        <v>2</v>
      </c>
      <c r="P5" s="3">
        <v>7.48</v>
      </c>
      <c r="Q5" s="3">
        <v>0.5343</v>
      </c>
      <c r="R5" s="3">
        <v>0.38367000000000001</v>
      </c>
      <c r="S5" s="3">
        <v>1.50969</v>
      </c>
      <c r="T5" s="3" t="s">
        <v>890</v>
      </c>
    </row>
    <row r="6" spans="1:20" x14ac:dyDescent="0.25">
      <c r="A6" s="2">
        <v>3</v>
      </c>
      <c r="B6" s="2">
        <v>2023</v>
      </c>
      <c r="C6" s="2" t="s">
        <v>39</v>
      </c>
      <c r="D6" s="2" t="s">
        <v>891</v>
      </c>
      <c r="E6" s="2" t="s">
        <v>788</v>
      </c>
      <c r="F6" s="2" t="s">
        <v>892</v>
      </c>
      <c r="G6" s="2" t="s">
        <v>117</v>
      </c>
      <c r="H6" s="2" t="s">
        <v>893</v>
      </c>
      <c r="I6" s="2">
        <v>1</v>
      </c>
      <c r="J6" s="2">
        <v>5.8</v>
      </c>
      <c r="K6" s="2">
        <v>44</v>
      </c>
      <c r="L6" s="2">
        <v>510.4</v>
      </c>
      <c r="M6" s="2">
        <v>0</v>
      </c>
      <c r="N6" s="2">
        <v>0</v>
      </c>
      <c r="O6" s="2">
        <v>2</v>
      </c>
      <c r="P6" s="2">
        <v>4.87</v>
      </c>
      <c r="Q6" s="2">
        <v>0.74750000000000005</v>
      </c>
      <c r="R6" s="2">
        <v>0.32035000000000002</v>
      </c>
      <c r="S6" s="2">
        <v>0.32035000000000002</v>
      </c>
      <c r="T6" s="2" t="s">
        <v>894</v>
      </c>
    </row>
    <row r="7" spans="1:20" x14ac:dyDescent="0.25">
      <c r="A7" s="3">
        <v>4</v>
      </c>
      <c r="B7" s="3">
        <v>2023</v>
      </c>
      <c r="C7" s="3" t="s">
        <v>46</v>
      </c>
      <c r="D7" s="3" t="s">
        <v>895</v>
      </c>
      <c r="E7" s="3" t="s">
        <v>755</v>
      </c>
      <c r="F7" s="3" t="s">
        <v>892</v>
      </c>
      <c r="G7" s="3" t="s">
        <v>92</v>
      </c>
      <c r="H7" s="3" t="s">
        <v>885</v>
      </c>
      <c r="I7" s="3">
        <v>5</v>
      </c>
      <c r="J7" s="3">
        <v>8</v>
      </c>
      <c r="K7" s="3">
        <v>50</v>
      </c>
      <c r="L7" s="3">
        <v>4000</v>
      </c>
      <c r="M7" s="3">
        <v>6.2E-2</v>
      </c>
      <c r="N7" s="3">
        <v>0.248</v>
      </c>
      <c r="O7" s="3">
        <v>0</v>
      </c>
      <c r="P7" s="3">
        <v>3.96</v>
      </c>
      <c r="Q7" s="3">
        <v>0.6552</v>
      </c>
      <c r="R7" s="3">
        <v>0</v>
      </c>
      <c r="S7" s="3">
        <v>0.248</v>
      </c>
      <c r="T7" s="3" t="s">
        <v>890</v>
      </c>
    </row>
    <row r="8" spans="1:20" x14ac:dyDescent="0.25">
      <c r="A8" s="2">
        <v>5</v>
      </c>
      <c r="B8" s="2">
        <v>2023</v>
      </c>
      <c r="C8" s="2" t="s">
        <v>22</v>
      </c>
      <c r="D8" s="2" t="s">
        <v>896</v>
      </c>
      <c r="E8" s="2" t="s">
        <v>777</v>
      </c>
      <c r="F8" s="2" t="s">
        <v>888</v>
      </c>
      <c r="G8" s="2" t="s">
        <v>33</v>
      </c>
      <c r="H8" s="2" t="s">
        <v>897</v>
      </c>
      <c r="I8" s="2">
        <v>5</v>
      </c>
      <c r="J8" s="2">
        <v>26</v>
      </c>
      <c r="K8" s="2">
        <v>48</v>
      </c>
      <c r="L8" s="2">
        <v>12480</v>
      </c>
      <c r="M8" s="2">
        <v>0</v>
      </c>
      <c r="N8" s="2">
        <v>0</v>
      </c>
      <c r="O8" s="2">
        <v>1</v>
      </c>
      <c r="P8" s="2">
        <v>5.29</v>
      </c>
      <c r="Q8" s="2">
        <v>0.80769999999999997</v>
      </c>
      <c r="R8" s="2">
        <v>0.20508999999999999</v>
      </c>
      <c r="S8" s="2">
        <v>0.20508999999999999</v>
      </c>
      <c r="T8" s="2" t="s">
        <v>886</v>
      </c>
    </row>
    <row r="9" spans="1:20" x14ac:dyDescent="0.25">
      <c r="A9" s="3">
        <v>6</v>
      </c>
      <c r="B9" s="3">
        <v>2023</v>
      </c>
      <c r="C9" s="3" t="s">
        <v>32</v>
      </c>
      <c r="D9" s="3" t="s">
        <v>898</v>
      </c>
      <c r="E9" s="3" t="s">
        <v>777</v>
      </c>
      <c r="F9" s="3" t="s">
        <v>892</v>
      </c>
      <c r="G9" s="3" t="s">
        <v>154</v>
      </c>
      <c r="H9" s="3" t="s">
        <v>897</v>
      </c>
      <c r="I9" s="3">
        <v>4</v>
      </c>
      <c r="J9" s="3">
        <v>34.9</v>
      </c>
      <c r="K9" s="3">
        <v>46</v>
      </c>
      <c r="L9" s="3">
        <v>12843.2</v>
      </c>
      <c r="M9" s="3">
        <v>0</v>
      </c>
      <c r="N9" s="3">
        <v>0</v>
      </c>
      <c r="O9" s="3">
        <v>4</v>
      </c>
      <c r="P9" s="3">
        <v>6.16</v>
      </c>
      <c r="Q9" s="3">
        <v>0.43140000000000001</v>
      </c>
      <c r="R9" s="3">
        <v>0.48897000000000002</v>
      </c>
      <c r="S9" s="3">
        <v>0.48897000000000002</v>
      </c>
      <c r="T9" s="3" t="s">
        <v>890</v>
      </c>
    </row>
    <row r="10" spans="1:20" x14ac:dyDescent="0.25">
      <c r="A10" s="2">
        <v>7</v>
      </c>
      <c r="B10" s="2">
        <v>2023</v>
      </c>
      <c r="C10" s="2" t="s">
        <v>39</v>
      </c>
      <c r="D10" s="2" t="s">
        <v>899</v>
      </c>
      <c r="E10" s="2" t="s">
        <v>749</v>
      </c>
      <c r="F10" s="2" t="s">
        <v>900</v>
      </c>
      <c r="G10" s="2" t="s">
        <v>117</v>
      </c>
      <c r="H10" s="2" t="s">
        <v>901</v>
      </c>
      <c r="I10" s="2">
        <v>5</v>
      </c>
      <c r="J10" s="2">
        <v>36.6</v>
      </c>
      <c r="K10" s="2">
        <v>46</v>
      </c>
      <c r="L10" s="2">
        <v>16836</v>
      </c>
      <c r="M10" s="2">
        <v>0.17100000000000001</v>
      </c>
      <c r="N10" s="2">
        <v>2.8789600000000002</v>
      </c>
      <c r="O10" s="2">
        <v>4</v>
      </c>
      <c r="P10" s="2">
        <v>2.59</v>
      </c>
      <c r="Q10" s="2">
        <v>0.55930000000000002</v>
      </c>
      <c r="R10" s="2">
        <v>0.26654</v>
      </c>
      <c r="S10" s="2">
        <v>3.1455000000000002</v>
      </c>
      <c r="T10" s="2" t="s">
        <v>894</v>
      </c>
    </row>
    <row r="11" spans="1:20" x14ac:dyDescent="0.25">
      <c r="A11" s="3">
        <v>8</v>
      </c>
      <c r="B11" s="3">
        <v>2023</v>
      </c>
      <c r="C11" s="3" t="s">
        <v>46</v>
      </c>
      <c r="D11" s="3" t="s">
        <v>902</v>
      </c>
      <c r="E11" s="3" t="s">
        <v>793</v>
      </c>
      <c r="F11" s="3" t="s">
        <v>903</v>
      </c>
      <c r="G11" s="3" t="s">
        <v>24</v>
      </c>
      <c r="H11" s="3" t="s">
        <v>901</v>
      </c>
      <c r="I11" s="3">
        <v>5</v>
      </c>
      <c r="J11" s="3">
        <v>46.7</v>
      </c>
      <c r="K11" s="3">
        <v>47</v>
      </c>
      <c r="L11" s="3">
        <v>21949</v>
      </c>
      <c r="M11" s="3">
        <v>0.17100000000000001</v>
      </c>
      <c r="N11" s="3">
        <v>3.7532800000000002</v>
      </c>
      <c r="O11" s="3">
        <v>2</v>
      </c>
      <c r="P11" s="3">
        <v>4.97</v>
      </c>
      <c r="Q11" s="3">
        <v>0.6603</v>
      </c>
      <c r="R11" s="3">
        <v>0.30847999999999998</v>
      </c>
      <c r="S11" s="3">
        <v>4.0617599999999996</v>
      </c>
      <c r="T11" s="3" t="s">
        <v>894</v>
      </c>
    </row>
    <row r="12" spans="1:20" x14ac:dyDescent="0.25">
      <c r="A12" s="2">
        <v>9</v>
      </c>
      <c r="B12" s="2">
        <v>2023</v>
      </c>
      <c r="C12" s="2" t="s">
        <v>22</v>
      </c>
      <c r="D12" s="2" t="s">
        <v>904</v>
      </c>
      <c r="E12" s="2" t="s">
        <v>793</v>
      </c>
      <c r="F12" s="2" t="s">
        <v>903</v>
      </c>
      <c r="G12" s="2" t="s">
        <v>204</v>
      </c>
      <c r="H12" s="2" t="s">
        <v>905</v>
      </c>
      <c r="I12" s="2">
        <v>2</v>
      </c>
      <c r="J12" s="2">
        <v>40.299999999999997</v>
      </c>
      <c r="K12" s="2">
        <v>47</v>
      </c>
      <c r="L12" s="2">
        <v>7576.4</v>
      </c>
      <c r="M12" s="2">
        <v>0.192</v>
      </c>
      <c r="N12" s="2">
        <v>1.4546699999999999</v>
      </c>
      <c r="O12" s="2">
        <v>4</v>
      </c>
      <c r="P12" s="2">
        <v>3.75</v>
      </c>
      <c r="Q12" s="2">
        <v>0.63929999999999998</v>
      </c>
      <c r="R12" s="2">
        <v>0.45071</v>
      </c>
      <c r="S12" s="2">
        <v>1.9053800000000001</v>
      </c>
      <c r="T12" s="2" t="s">
        <v>894</v>
      </c>
    </row>
    <row r="13" spans="1:20" ht="24" x14ac:dyDescent="0.25">
      <c r="A13" s="3">
        <v>10</v>
      </c>
      <c r="B13" s="3">
        <v>2023</v>
      </c>
      <c r="C13" s="3" t="s">
        <v>32</v>
      </c>
      <c r="D13" s="3" t="s">
        <v>906</v>
      </c>
      <c r="E13" s="3" t="s">
        <v>788</v>
      </c>
      <c r="F13" s="3" t="s">
        <v>900</v>
      </c>
      <c r="G13" s="3" t="s">
        <v>96</v>
      </c>
      <c r="H13" s="3" t="s">
        <v>907</v>
      </c>
      <c r="I13" s="3">
        <v>3</v>
      </c>
      <c r="J13" s="3">
        <v>35.1</v>
      </c>
      <c r="K13" s="3">
        <v>49</v>
      </c>
      <c r="L13" s="3">
        <v>10319.4</v>
      </c>
      <c r="M13" s="3">
        <v>4.1000000000000002E-2</v>
      </c>
      <c r="N13" s="3">
        <v>0.42309999999999998</v>
      </c>
      <c r="O13" s="3">
        <v>2</v>
      </c>
      <c r="P13" s="3">
        <v>7.51</v>
      </c>
      <c r="Q13" s="3">
        <v>0.79020000000000001</v>
      </c>
      <c r="R13" s="3">
        <v>0.58157000000000003</v>
      </c>
      <c r="S13" s="3">
        <v>1.00467</v>
      </c>
      <c r="T13" s="3" t="s">
        <v>894</v>
      </c>
    </row>
    <row r="14" spans="1:20" x14ac:dyDescent="0.25">
      <c r="A14" s="2">
        <v>11</v>
      </c>
      <c r="B14" s="2">
        <v>2023</v>
      </c>
      <c r="C14" s="2" t="s">
        <v>39</v>
      </c>
      <c r="D14" s="2" t="s">
        <v>908</v>
      </c>
      <c r="E14" s="2" t="s">
        <v>909</v>
      </c>
      <c r="F14" s="2" t="s">
        <v>900</v>
      </c>
      <c r="G14" s="2" t="s">
        <v>70</v>
      </c>
      <c r="H14" s="2" t="s">
        <v>905</v>
      </c>
      <c r="I14" s="2">
        <v>5</v>
      </c>
      <c r="J14" s="2">
        <v>59.2</v>
      </c>
      <c r="K14" s="2">
        <v>47</v>
      </c>
      <c r="L14" s="2">
        <v>27824</v>
      </c>
      <c r="M14" s="2">
        <v>0.192</v>
      </c>
      <c r="N14" s="2">
        <v>5.3422099999999997</v>
      </c>
      <c r="O14" s="2">
        <v>1</v>
      </c>
      <c r="P14" s="2">
        <v>7.12</v>
      </c>
      <c r="Q14" s="2">
        <v>0.37930000000000003</v>
      </c>
      <c r="R14" s="2">
        <v>0.12692999999999999</v>
      </c>
      <c r="S14" s="2">
        <v>5.4691400000000003</v>
      </c>
      <c r="T14" s="2" t="s">
        <v>886</v>
      </c>
    </row>
    <row r="15" spans="1:20" x14ac:dyDescent="0.25">
      <c r="A15" s="3">
        <v>12</v>
      </c>
      <c r="B15" s="3">
        <v>2023</v>
      </c>
      <c r="C15" s="3" t="s">
        <v>46</v>
      </c>
      <c r="D15" s="3" t="s">
        <v>910</v>
      </c>
      <c r="E15" s="3" t="s">
        <v>788</v>
      </c>
      <c r="F15" s="3" t="s">
        <v>884</v>
      </c>
      <c r="G15" s="3" t="s">
        <v>33</v>
      </c>
      <c r="H15" s="3" t="s">
        <v>911</v>
      </c>
      <c r="I15" s="3">
        <v>3</v>
      </c>
      <c r="J15" s="3">
        <v>8.4</v>
      </c>
      <c r="K15" s="3">
        <v>46</v>
      </c>
      <c r="L15" s="3">
        <v>2318.4</v>
      </c>
      <c r="M15" s="3">
        <v>9.6000000000000002E-2</v>
      </c>
      <c r="N15" s="3">
        <v>0.22256999999999999</v>
      </c>
      <c r="O15" s="3">
        <v>0</v>
      </c>
      <c r="P15" s="3">
        <v>3.41</v>
      </c>
      <c r="Q15" s="3">
        <v>0.68</v>
      </c>
      <c r="R15" s="3">
        <v>0</v>
      </c>
      <c r="S15" s="3">
        <v>0.22256999999999999</v>
      </c>
      <c r="T15" s="3" t="s">
        <v>890</v>
      </c>
    </row>
    <row r="16" spans="1:20" x14ac:dyDescent="0.25">
      <c r="A16" s="2">
        <v>13</v>
      </c>
      <c r="B16" s="2">
        <v>2023</v>
      </c>
      <c r="C16" s="2" t="s">
        <v>22</v>
      </c>
      <c r="D16" s="2" t="s">
        <v>912</v>
      </c>
      <c r="E16" s="2" t="s">
        <v>788</v>
      </c>
      <c r="F16" s="2" t="s">
        <v>884</v>
      </c>
      <c r="G16" s="2" t="s">
        <v>33</v>
      </c>
      <c r="H16" s="2" t="s">
        <v>897</v>
      </c>
      <c r="I16" s="2">
        <v>4</v>
      </c>
      <c r="J16" s="2">
        <v>33.6</v>
      </c>
      <c r="K16" s="2">
        <v>49</v>
      </c>
      <c r="L16" s="2">
        <v>13171.2</v>
      </c>
      <c r="M16" s="2">
        <v>0</v>
      </c>
      <c r="N16" s="2">
        <v>0</v>
      </c>
      <c r="O16" s="2">
        <v>1</v>
      </c>
      <c r="P16" s="2">
        <v>4.8499999999999996</v>
      </c>
      <c r="Q16" s="2">
        <v>0.4385</v>
      </c>
      <c r="R16" s="2">
        <v>0.10421</v>
      </c>
      <c r="S16" s="2">
        <v>0.10421</v>
      </c>
      <c r="T16" s="2" t="s">
        <v>886</v>
      </c>
    </row>
    <row r="17" spans="1:20" x14ac:dyDescent="0.25">
      <c r="A17" s="3">
        <v>14</v>
      </c>
      <c r="B17" s="3">
        <v>2023</v>
      </c>
      <c r="C17" s="3" t="s">
        <v>32</v>
      </c>
      <c r="D17" s="3" t="s">
        <v>913</v>
      </c>
      <c r="E17" s="3" t="s">
        <v>749</v>
      </c>
      <c r="F17" s="3" t="s">
        <v>903</v>
      </c>
      <c r="G17" s="3" t="s">
        <v>154</v>
      </c>
      <c r="H17" s="3" t="s">
        <v>914</v>
      </c>
      <c r="I17" s="3">
        <v>2</v>
      </c>
      <c r="J17" s="3">
        <v>9.8000000000000007</v>
      </c>
      <c r="K17" s="3">
        <v>44</v>
      </c>
      <c r="L17" s="3">
        <v>1724.8</v>
      </c>
      <c r="M17" s="3">
        <v>8.8999999999999996E-2</v>
      </c>
      <c r="N17" s="3">
        <v>0.15351000000000001</v>
      </c>
      <c r="O17" s="3">
        <v>0</v>
      </c>
      <c r="P17" s="3">
        <v>2.86</v>
      </c>
      <c r="Q17" s="3">
        <v>0.76590000000000003</v>
      </c>
      <c r="R17" s="3">
        <v>0</v>
      </c>
      <c r="S17" s="3">
        <v>0.15351000000000001</v>
      </c>
      <c r="T17" s="3" t="s">
        <v>886</v>
      </c>
    </row>
    <row r="18" spans="1:20" x14ac:dyDescent="0.25">
      <c r="A18" s="2">
        <v>15</v>
      </c>
      <c r="B18" s="2">
        <v>2023</v>
      </c>
      <c r="C18" s="2" t="s">
        <v>39</v>
      </c>
      <c r="D18" s="2" t="s">
        <v>915</v>
      </c>
      <c r="E18" s="2" t="s">
        <v>909</v>
      </c>
      <c r="F18" s="2" t="s">
        <v>884</v>
      </c>
      <c r="G18" s="2" t="s">
        <v>204</v>
      </c>
      <c r="H18" s="2" t="s">
        <v>885</v>
      </c>
      <c r="I18" s="2">
        <v>4</v>
      </c>
      <c r="J18" s="2">
        <v>51.9</v>
      </c>
      <c r="K18" s="2">
        <v>50</v>
      </c>
      <c r="L18" s="2">
        <v>20760</v>
      </c>
      <c r="M18" s="2">
        <v>6.2E-2</v>
      </c>
      <c r="N18" s="2">
        <v>1.28712</v>
      </c>
      <c r="O18" s="2">
        <v>4</v>
      </c>
      <c r="P18" s="2">
        <v>7.58</v>
      </c>
      <c r="Q18" s="2">
        <v>0.64290000000000003</v>
      </c>
      <c r="R18" s="2">
        <v>0.97463999999999995</v>
      </c>
      <c r="S18" s="2">
        <v>2.2617600000000002</v>
      </c>
      <c r="T18" s="2" t="s">
        <v>894</v>
      </c>
    </row>
    <row r="19" spans="1:20" x14ac:dyDescent="0.25">
      <c r="A19" s="3">
        <v>16</v>
      </c>
      <c r="B19" s="3">
        <v>2023</v>
      </c>
      <c r="C19" s="3" t="s">
        <v>46</v>
      </c>
      <c r="D19" s="3" t="s">
        <v>916</v>
      </c>
      <c r="E19" s="3" t="s">
        <v>793</v>
      </c>
      <c r="F19" s="3" t="s">
        <v>892</v>
      </c>
      <c r="G19" s="3" t="s">
        <v>54</v>
      </c>
      <c r="H19" s="3" t="s">
        <v>893</v>
      </c>
      <c r="I19" s="3">
        <v>4</v>
      </c>
      <c r="J19" s="3">
        <v>22.6</v>
      </c>
      <c r="K19" s="3">
        <v>45</v>
      </c>
      <c r="L19" s="3">
        <v>8136</v>
      </c>
      <c r="M19" s="3">
        <v>0</v>
      </c>
      <c r="N19" s="3">
        <v>0</v>
      </c>
      <c r="O19" s="3">
        <v>3</v>
      </c>
      <c r="P19" s="3">
        <v>5.63</v>
      </c>
      <c r="Q19" s="3">
        <v>0.62160000000000004</v>
      </c>
      <c r="R19" s="3">
        <v>0.47244999999999998</v>
      </c>
      <c r="S19" s="3">
        <v>0.47244999999999998</v>
      </c>
      <c r="T19" s="3" t="s">
        <v>890</v>
      </c>
    </row>
    <row r="20" spans="1:20" x14ac:dyDescent="0.25">
      <c r="A20" s="2">
        <v>17</v>
      </c>
      <c r="B20" s="2">
        <v>2023</v>
      </c>
      <c r="C20" s="2" t="s">
        <v>22</v>
      </c>
      <c r="D20" s="2" t="s">
        <v>917</v>
      </c>
      <c r="E20" s="2" t="s">
        <v>883</v>
      </c>
      <c r="F20" s="2" t="s">
        <v>900</v>
      </c>
      <c r="G20" s="2" t="s">
        <v>24</v>
      </c>
      <c r="H20" s="2" t="s">
        <v>897</v>
      </c>
      <c r="I20" s="2">
        <v>5</v>
      </c>
      <c r="J20" s="2">
        <v>35.4</v>
      </c>
      <c r="K20" s="2">
        <v>44</v>
      </c>
      <c r="L20" s="2">
        <v>15576</v>
      </c>
      <c r="M20" s="2">
        <v>0</v>
      </c>
      <c r="N20" s="2">
        <v>0</v>
      </c>
      <c r="O20" s="2">
        <v>0</v>
      </c>
      <c r="P20" s="2">
        <v>5.41</v>
      </c>
      <c r="Q20" s="2">
        <v>0.68130000000000002</v>
      </c>
      <c r="R20" s="2">
        <v>0</v>
      </c>
      <c r="S20" s="2">
        <v>0</v>
      </c>
      <c r="T20" s="2" t="s">
        <v>886</v>
      </c>
    </row>
    <row r="21" spans="1:20" x14ac:dyDescent="0.25">
      <c r="A21" s="3">
        <v>18</v>
      </c>
      <c r="B21" s="3">
        <v>2023</v>
      </c>
      <c r="C21" s="3" t="s">
        <v>32</v>
      </c>
      <c r="D21" s="3" t="s">
        <v>918</v>
      </c>
      <c r="E21" s="3" t="s">
        <v>777</v>
      </c>
      <c r="F21" s="3" t="s">
        <v>892</v>
      </c>
      <c r="G21" s="3" t="s">
        <v>204</v>
      </c>
      <c r="H21" s="3" t="s">
        <v>911</v>
      </c>
      <c r="I21" s="3">
        <v>3</v>
      </c>
      <c r="J21" s="3">
        <v>29</v>
      </c>
      <c r="K21" s="3">
        <v>44</v>
      </c>
      <c r="L21" s="3">
        <v>7656</v>
      </c>
      <c r="M21" s="3">
        <v>9.6000000000000002E-2</v>
      </c>
      <c r="N21" s="3">
        <v>0.73497999999999997</v>
      </c>
      <c r="O21" s="3">
        <v>4</v>
      </c>
      <c r="P21" s="3">
        <v>7.34</v>
      </c>
      <c r="Q21" s="3">
        <v>0.3916</v>
      </c>
      <c r="R21" s="3">
        <v>0.50588</v>
      </c>
      <c r="S21" s="3">
        <v>1.2408600000000001</v>
      </c>
      <c r="T21" s="3" t="s">
        <v>894</v>
      </c>
    </row>
    <row r="22" spans="1:20" x14ac:dyDescent="0.25">
      <c r="A22" s="2">
        <v>19</v>
      </c>
      <c r="B22" s="2">
        <v>2023</v>
      </c>
      <c r="C22" s="2" t="s">
        <v>39</v>
      </c>
      <c r="D22" s="2" t="s">
        <v>919</v>
      </c>
      <c r="E22" s="2" t="s">
        <v>883</v>
      </c>
      <c r="F22" s="2" t="s">
        <v>892</v>
      </c>
      <c r="G22" s="2" t="s">
        <v>139</v>
      </c>
      <c r="H22" s="2" t="s">
        <v>914</v>
      </c>
      <c r="I22" s="2">
        <v>5</v>
      </c>
      <c r="J22" s="2">
        <v>5.0999999999999996</v>
      </c>
      <c r="K22" s="2">
        <v>46</v>
      </c>
      <c r="L22" s="2">
        <v>2346</v>
      </c>
      <c r="M22" s="2">
        <v>8.8999999999999996E-2</v>
      </c>
      <c r="N22" s="2">
        <v>0.20879</v>
      </c>
      <c r="O22" s="2">
        <v>4</v>
      </c>
      <c r="P22" s="2">
        <v>6.67</v>
      </c>
      <c r="Q22" s="2">
        <v>0.57040000000000002</v>
      </c>
      <c r="R22" s="2">
        <v>0.70004</v>
      </c>
      <c r="S22" s="2">
        <v>0.90883000000000003</v>
      </c>
      <c r="T22" s="2" t="s">
        <v>894</v>
      </c>
    </row>
    <row r="23" spans="1:20" ht="24" x14ac:dyDescent="0.25">
      <c r="A23" s="3">
        <v>20</v>
      </c>
      <c r="B23" s="3">
        <v>2023</v>
      </c>
      <c r="C23" s="3" t="s">
        <v>46</v>
      </c>
      <c r="D23" s="3" t="s">
        <v>920</v>
      </c>
      <c r="E23" s="3" t="s">
        <v>755</v>
      </c>
      <c r="F23" s="3" t="s">
        <v>892</v>
      </c>
      <c r="G23" s="3" t="s">
        <v>70</v>
      </c>
      <c r="H23" s="3" t="s">
        <v>907</v>
      </c>
      <c r="I23" s="3">
        <v>4</v>
      </c>
      <c r="J23" s="3">
        <v>22.5</v>
      </c>
      <c r="K23" s="3">
        <v>50</v>
      </c>
      <c r="L23" s="3">
        <v>9000</v>
      </c>
      <c r="M23" s="3">
        <v>4.1000000000000002E-2</v>
      </c>
      <c r="N23" s="3">
        <v>0.36899999999999999</v>
      </c>
      <c r="O23" s="3">
        <v>2</v>
      </c>
      <c r="P23" s="3">
        <v>3.74</v>
      </c>
      <c r="Q23" s="3">
        <v>0.36659999999999998</v>
      </c>
      <c r="R23" s="3">
        <v>0.13711000000000001</v>
      </c>
      <c r="S23" s="3">
        <v>0.50610999999999995</v>
      </c>
      <c r="T23" s="3" t="s">
        <v>890</v>
      </c>
    </row>
    <row r="24" spans="1:20" x14ac:dyDescent="0.25">
      <c r="A24" s="2">
        <v>21</v>
      </c>
      <c r="B24" s="2">
        <v>2023</v>
      </c>
      <c r="C24" s="2" t="s">
        <v>22</v>
      </c>
      <c r="D24" s="2" t="s">
        <v>921</v>
      </c>
      <c r="E24" s="2" t="s">
        <v>742</v>
      </c>
      <c r="F24" s="2" t="s">
        <v>888</v>
      </c>
      <c r="G24" s="2" t="s">
        <v>96</v>
      </c>
      <c r="H24" s="2" t="s">
        <v>905</v>
      </c>
      <c r="I24" s="2">
        <v>4</v>
      </c>
      <c r="J24" s="2">
        <v>35.5</v>
      </c>
      <c r="K24" s="2">
        <v>48</v>
      </c>
      <c r="L24" s="2">
        <v>13632</v>
      </c>
      <c r="M24" s="2">
        <v>0.192</v>
      </c>
      <c r="N24" s="2">
        <v>2.61734</v>
      </c>
      <c r="O24" s="2">
        <v>0</v>
      </c>
      <c r="P24" s="2">
        <v>5.94</v>
      </c>
      <c r="Q24" s="2">
        <v>0.48709999999999998</v>
      </c>
      <c r="R24" s="2">
        <v>0</v>
      </c>
      <c r="S24" s="2">
        <v>2.61734</v>
      </c>
      <c r="T24" s="2" t="s">
        <v>890</v>
      </c>
    </row>
    <row r="25" spans="1:20" x14ac:dyDescent="0.25">
      <c r="A25" s="3">
        <v>22</v>
      </c>
      <c r="B25" s="3">
        <v>2023</v>
      </c>
      <c r="C25" s="3" t="s">
        <v>32</v>
      </c>
      <c r="D25" s="3" t="s">
        <v>922</v>
      </c>
      <c r="E25" s="3" t="s">
        <v>755</v>
      </c>
      <c r="F25" s="3" t="s">
        <v>900</v>
      </c>
      <c r="G25" s="3" t="s">
        <v>117</v>
      </c>
      <c r="H25" s="3" t="s">
        <v>901</v>
      </c>
      <c r="I25" s="3">
        <v>2</v>
      </c>
      <c r="J25" s="3">
        <v>31.3</v>
      </c>
      <c r="K25" s="3">
        <v>50</v>
      </c>
      <c r="L25" s="3">
        <v>6260</v>
      </c>
      <c r="M25" s="3">
        <v>0.17100000000000001</v>
      </c>
      <c r="N25" s="3">
        <v>1.07046</v>
      </c>
      <c r="O25" s="3">
        <v>2</v>
      </c>
      <c r="P25" s="3">
        <v>3.51</v>
      </c>
      <c r="Q25" s="3">
        <v>0.63939999999999997</v>
      </c>
      <c r="R25" s="3">
        <v>0.22442999999999999</v>
      </c>
      <c r="S25" s="3">
        <v>1.2948900000000001</v>
      </c>
      <c r="T25" s="3" t="s">
        <v>894</v>
      </c>
    </row>
    <row r="26" spans="1:20" x14ac:dyDescent="0.25">
      <c r="A26" s="2">
        <v>23</v>
      </c>
      <c r="B26" s="2">
        <v>2023</v>
      </c>
      <c r="C26" s="2" t="s">
        <v>39</v>
      </c>
      <c r="D26" s="2" t="s">
        <v>923</v>
      </c>
      <c r="E26" s="2" t="s">
        <v>755</v>
      </c>
      <c r="F26" s="2" t="s">
        <v>903</v>
      </c>
      <c r="G26" s="2" t="s">
        <v>110</v>
      </c>
      <c r="H26" s="2" t="s">
        <v>901</v>
      </c>
      <c r="I26" s="2">
        <v>5</v>
      </c>
      <c r="J26" s="2">
        <v>12.1</v>
      </c>
      <c r="K26" s="2">
        <v>48</v>
      </c>
      <c r="L26" s="2">
        <v>5808</v>
      </c>
      <c r="M26" s="2">
        <v>0.17100000000000001</v>
      </c>
      <c r="N26" s="2">
        <v>0.99317</v>
      </c>
      <c r="O26" s="2">
        <v>1</v>
      </c>
      <c r="P26" s="2">
        <v>5.95</v>
      </c>
      <c r="Q26" s="2">
        <v>0.52380000000000004</v>
      </c>
      <c r="R26" s="2">
        <v>0.14960000000000001</v>
      </c>
      <c r="S26" s="2">
        <v>1.1427700000000001</v>
      </c>
      <c r="T26" s="2" t="s">
        <v>890</v>
      </c>
    </row>
    <row r="27" spans="1:20" x14ac:dyDescent="0.25">
      <c r="A27" s="3">
        <v>24</v>
      </c>
      <c r="B27" s="3">
        <v>2023</v>
      </c>
      <c r="C27" s="3" t="s">
        <v>46</v>
      </c>
      <c r="D27" s="3" t="s">
        <v>924</v>
      </c>
      <c r="E27" s="3" t="s">
        <v>725</v>
      </c>
      <c r="F27" s="3" t="s">
        <v>884</v>
      </c>
      <c r="G27" s="3" t="s">
        <v>54</v>
      </c>
      <c r="H27" s="3" t="s">
        <v>885</v>
      </c>
      <c r="I27" s="3">
        <v>5</v>
      </c>
      <c r="J27" s="3">
        <v>52</v>
      </c>
      <c r="K27" s="3">
        <v>46</v>
      </c>
      <c r="L27" s="3">
        <v>23920</v>
      </c>
      <c r="M27" s="3">
        <v>6.2E-2</v>
      </c>
      <c r="N27" s="3">
        <v>1.4830399999999999</v>
      </c>
      <c r="O27" s="3">
        <v>0</v>
      </c>
      <c r="P27" s="3">
        <v>7.8</v>
      </c>
      <c r="Q27" s="3">
        <v>0.62990000000000002</v>
      </c>
      <c r="R27" s="3">
        <v>0</v>
      </c>
      <c r="S27" s="3">
        <v>1.4830399999999999</v>
      </c>
      <c r="T27" s="3" t="s">
        <v>890</v>
      </c>
    </row>
    <row r="28" spans="1:20" x14ac:dyDescent="0.25">
      <c r="A28" s="2">
        <v>25</v>
      </c>
      <c r="B28" s="2">
        <v>2023</v>
      </c>
      <c r="C28" s="2" t="s">
        <v>22</v>
      </c>
      <c r="D28" s="2" t="s">
        <v>925</v>
      </c>
      <c r="E28" s="2" t="s">
        <v>742</v>
      </c>
      <c r="F28" s="2" t="s">
        <v>888</v>
      </c>
      <c r="G28" s="2" t="s">
        <v>88</v>
      </c>
      <c r="H28" s="2" t="s">
        <v>897</v>
      </c>
      <c r="I28" s="2">
        <v>2</v>
      </c>
      <c r="J28" s="2">
        <v>40.299999999999997</v>
      </c>
      <c r="K28" s="2">
        <v>49</v>
      </c>
      <c r="L28" s="2">
        <v>7898.8</v>
      </c>
      <c r="M28" s="2">
        <v>0</v>
      </c>
      <c r="N28" s="2">
        <v>0</v>
      </c>
      <c r="O28" s="2">
        <v>1</v>
      </c>
      <c r="P28" s="2">
        <v>3.27</v>
      </c>
      <c r="Q28" s="2">
        <v>0.69510000000000005</v>
      </c>
      <c r="R28" s="2">
        <v>0.11138000000000001</v>
      </c>
      <c r="S28" s="2">
        <v>0.11138000000000001</v>
      </c>
      <c r="T28" s="2" t="s">
        <v>886</v>
      </c>
    </row>
    <row r="29" spans="1:20" x14ac:dyDescent="0.25">
      <c r="A29" s="3">
        <v>26</v>
      </c>
      <c r="B29" s="3">
        <v>2023</v>
      </c>
      <c r="C29" s="3" t="s">
        <v>32</v>
      </c>
      <c r="D29" s="3" t="s">
        <v>926</v>
      </c>
      <c r="E29" s="3" t="s">
        <v>909</v>
      </c>
      <c r="F29" s="3" t="s">
        <v>903</v>
      </c>
      <c r="G29" s="3" t="s">
        <v>70</v>
      </c>
      <c r="H29" s="3" t="s">
        <v>905</v>
      </c>
      <c r="I29" s="3">
        <v>2</v>
      </c>
      <c r="J29" s="3">
        <v>28.9</v>
      </c>
      <c r="K29" s="3">
        <v>47</v>
      </c>
      <c r="L29" s="3">
        <v>5433.2</v>
      </c>
      <c r="M29" s="3">
        <v>0.192</v>
      </c>
      <c r="N29" s="3">
        <v>1.0431699999999999</v>
      </c>
      <c r="O29" s="3">
        <v>2</v>
      </c>
      <c r="P29" s="3">
        <v>4.8600000000000003</v>
      </c>
      <c r="Q29" s="3">
        <v>0.79569999999999996</v>
      </c>
      <c r="R29" s="3">
        <v>0.36351</v>
      </c>
      <c r="S29" s="3">
        <v>1.4066799999999999</v>
      </c>
      <c r="T29" s="3" t="s">
        <v>890</v>
      </c>
    </row>
    <row r="30" spans="1:20" x14ac:dyDescent="0.25">
      <c r="A30" s="2">
        <v>27</v>
      </c>
      <c r="B30" s="2">
        <v>2023</v>
      </c>
      <c r="C30" s="2" t="s">
        <v>39</v>
      </c>
      <c r="D30" s="2" t="s">
        <v>927</v>
      </c>
      <c r="E30" s="2" t="s">
        <v>749</v>
      </c>
      <c r="F30" s="2" t="s">
        <v>888</v>
      </c>
      <c r="G30" s="2" t="s">
        <v>204</v>
      </c>
      <c r="H30" s="2" t="s">
        <v>897</v>
      </c>
      <c r="I30" s="2">
        <v>4</v>
      </c>
      <c r="J30" s="2">
        <v>17.2</v>
      </c>
      <c r="K30" s="2">
        <v>48</v>
      </c>
      <c r="L30" s="2">
        <v>6604.8</v>
      </c>
      <c r="M30" s="2">
        <v>0</v>
      </c>
      <c r="N30" s="2">
        <v>0</v>
      </c>
      <c r="O30" s="2">
        <v>3</v>
      </c>
      <c r="P30" s="2">
        <v>2.0699999999999998</v>
      </c>
      <c r="Q30" s="2">
        <v>0.78580000000000005</v>
      </c>
      <c r="R30" s="2">
        <v>0.23422999999999999</v>
      </c>
      <c r="S30" s="2">
        <v>0.23422999999999999</v>
      </c>
      <c r="T30" s="2" t="s">
        <v>894</v>
      </c>
    </row>
    <row r="31" spans="1:20" x14ac:dyDescent="0.25">
      <c r="A31" s="3">
        <v>28</v>
      </c>
      <c r="B31" s="3">
        <v>2023</v>
      </c>
      <c r="C31" s="3" t="s">
        <v>46</v>
      </c>
      <c r="D31" s="3" t="s">
        <v>928</v>
      </c>
      <c r="E31" s="3" t="s">
        <v>755</v>
      </c>
      <c r="F31" s="3" t="s">
        <v>888</v>
      </c>
      <c r="G31" s="3" t="s">
        <v>70</v>
      </c>
      <c r="H31" s="3" t="s">
        <v>905</v>
      </c>
      <c r="I31" s="3">
        <v>1</v>
      </c>
      <c r="J31" s="3">
        <v>55.2</v>
      </c>
      <c r="K31" s="3">
        <v>49</v>
      </c>
      <c r="L31" s="3">
        <v>5409.6</v>
      </c>
      <c r="M31" s="3">
        <v>0.192</v>
      </c>
      <c r="N31" s="3">
        <v>1.03864</v>
      </c>
      <c r="O31" s="3">
        <v>2</v>
      </c>
      <c r="P31" s="3">
        <v>7.74</v>
      </c>
      <c r="Q31" s="3">
        <v>0.55289999999999995</v>
      </c>
      <c r="R31" s="3">
        <v>0.41938999999999999</v>
      </c>
      <c r="S31" s="3">
        <v>1.4580299999999999</v>
      </c>
      <c r="T31" s="3" t="s">
        <v>890</v>
      </c>
    </row>
    <row r="32" spans="1:20" x14ac:dyDescent="0.25">
      <c r="A32" s="2">
        <v>29</v>
      </c>
      <c r="B32" s="2">
        <v>2023</v>
      </c>
      <c r="C32" s="2" t="s">
        <v>22</v>
      </c>
      <c r="D32" s="2" t="s">
        <v>929</v>
      </c>
      <c r="E32" s="2" t="s">
        <v>793</v>
      </c>
      <c r="F32" s="2" t="s">
        <v>892</v>
      </c>
      <c r="G32" s="2" t="s">
        <v>65</v>
      </c>
      <c r="H32" s="2" t="s">
        <v>914</v>
      </c>
      <c r="I32" s="2">
        <v>1</v>
      </c>
      <c r="J32" s="2">
        <v>16.8</v>
      </c>
      <c r="K32" s="2">
        <v>48</v>
      </c>
      <c r="L32" s="2">
        <v>1612.8</v>
      </c>
      <c r="M32" s="2">
        <v>8.8999999999999996E-2</v>
      </c>
      <c r="N32" s="2">
        <v>0.14354</v>
      </c>
      <c r="O32" s="2">
        <v>3</v>
      </c>
      <c r="P32" s="2">
        <v>4.7699999999999996</v>
      </c>
      <c r="Q32" s="2">
        <v>0.66739999999999999</v>
      </c>
      <c r="R32" s="2">
        <v>0.45841999999999999</v>
      </c>
      <c r="S32" s="2">
        <v>0.60196000000000005</v>
      </c>
      <c r="T32" s="2" t="s">
        <v>890</v>
      </c>
    </row>
    <row r="33" spans="1:20" x14ac:dyDescent="0.25">
      <c r="A33" s="3">
        <v>30</v>
      </c>
      <c r="B33" s="3">
        <v>2023</v>
      </c>
      <c r="C33" s="3" t="s">
        <v>32</v>
      </c>
      <c r="D33" s="3" t="s">
        <v>930</v>
      </c>
      <c r="E33" s="3" t="s">
        <v>909</v>
      </c>
      <c r="F33" s="3" t="s">
        <v>900</v>
      </c>
      <c r="G33" s="3" t="s">
        <v>24</v>
      </c>
      <c r="H33" s="3" t="s">
        <v>885</v>
      </c>
      <c r="I33" s="3">
        <v>3</v>
      </c>
      <c r="J33" s="3">
        <v>33.799999999999997</v>
      </c>
      <c r="K33" s="3">
        <v>49</v>
      </c>
      <c r="L33" s="3">
        <v>9937.2000000000007</v>
      </c>
      <c r="M33" s="3">
        <v>6.2E-2</v>
      </c>
      <c r="N33" s="3">
        <v>0.61611000000000005</v>
      </c>
      <c r="O33" s="3">
        <v>0</v>
      </c>
      <c r="P33" s="3">
        <v>6.99</v>
      </c>
      <c r="Q33" s="3">
        <v>0.35560000000000003</v>
      </c>
      <c r="R33" s="3">
        <v>0</v>
      </c>
      <c r="S33" s="3">
        <v>0.61611000000000005</v>
      </c>
      <c r="T33" s="3" t="s">
        <v>894</v>
      </c>
    </row>
    <row r="34" spans="1:20" x14ac:dyDescent="0.25">
      <c r="A34" s="2">
        <v>31</v>
      </c>
      <c r="B34" s="2">
        <v>2023</v>
      </c>
      <c r="C34" s="2" t="s">
        <v>39</v>
      </c>
      <c r="D34" s="2" t="s">
        <v>931</v>
      </c>
      <c r="E34" s="2" t="s">
        <v>742</v>
      </c>
      <c r="F34" s="2" t="s">
        <v>892</v>
      </c>
      <c r="G34" s="2" t="s">
        <v>24</v>
      </c>
      <c r="H34" s="2" t="s">
        <v>893</v>
      </c>
      <c r="I34" s="2">
        <v>3</v>
      </c>
      <c r="J34" s="2">
        <v>14.7</v>
      </c>
      <c r="K34" s="2">
        <v>46</v>
      </c>
      <c r="L34" s="2">
        <v>4057.2</v>
      </c>
      <c r="M34" s="2">
        <v>0</v>
      </c>
      <c r="N34" s="2">
        <v>0</v>
      </c>
      <c r="O34" s="2">
        <v>2</v>
      </c>
      <c r="P34" s="2">
        <v>3.16</v>
      </c>
      <c r="Q34" s="2">
        <v>0.36109999999999998</v>
      </c>
      <c r="R34" s="2">
        <v>0.10498</v>
      </c>
      <c r="S34" s="2">
        <v>0.10498</v>
      </c>
      <c r="T34" s="2" t="s">
        <v>894</v>
      </c>
    </row>
    <row r="35" spans="1:20" x14ac:dyDescent="0.25">
      <c r="A35" s="3">
        <v>32</v>
      </c>
      <c r="B35" s="3">
        <v>2023</v>
      </c>
      <c r="C35" s="3" t="s">
        <v>46</v>
      </c>
      <c r="D35" s="3" t="s">
        <v>932</v>
      </c>
      <c r="E35" s="3" t="s">
        <v>725</v>
      </c>
      <c r="F35" s="3" t="s">
        <v>900</v>
      </c>
      <c r="G35" s="3" t="s">
        <v>33</v>
      </c>
      <c r="H35" s="3" t="s">
        <v>889</v>
      </c>
      <c r="I35" s="3">
        <v>5</v>
      </c>
      <c r="J35" s="3">
        <v>39</v>
      </c>
      <c r="K35" s="3">
        <v>49</v>
      </c>
      <c r="L35" s="3">
        <v>19110</v>
      </c>
      <c r="M35" s="3">
        <v>0.113</v>
      </c>
      <c r="N35" s="3">
        <v>2.15943</v>
      </c>
      <c r="O35" s="3">
        <v>0</v>
      </c>
      <c r="P35" s="3">
        <v>2.52</v>
      </c>
      <c r="Q35" s="3">
        <v>0.63419999999999999</v>
      </c>
      <c r="R35" s="3">
        <v>0</v>
      </c>
      <c r="S35" s="3">
        <v>2.15943</v>
      </c>
      <c r="T35" s="3" t="s">
        <v>894</v>
      </c>
    </row>
    <row r="36" spans="1:20" x14ac:dyDescent="0.25">
      <c r="A36" s="2">
        <v>33</v>
      </c>
      <c r="B36" s="2">
        <v>2023</v>
      </c>
      <c r="C36" s="2" t="s">
        <v>22</v>
      </c>
      <c r="D36" s="2" t="s">
        <v>933</v>
      </c>
      <c r="E36" s="2" t="s">
        <v>749</v>
      </c>
      <c r="F36" s="2" t="s">
        <v>888</v>
      </c>
      <c r="G36" s="2" t="s">
        <v>117</v>
      </c>
      <c r="H36" s="2" t="s">
        <v>885</v>
      </c>
      <c r="I36" s="2">
        <v>3</v>
      </c>
      <c r="J36" s="2">
        <v>19.100000000000001</v>
      </c>
      <c r="K36" s="2">
        <v>49</v>
      </c>
      <c r="L36" s="2">
        <v>5615.4</v>
      </c>
      <c r="M36" s="2">
        <v>6.2E-2</v>
      </c>
      <c r="N36" s="2">
        <v>0.34815000000000002</v>
      </c>
      <c r="O36" s="2">
        <v>0</v>
      </c>
      <c r="P36" s="2">
        <v>5.83</v>
      </c>
      <c r="Q36" s="2">
        <v>0.78369999999999995</v>
      </c>
      <c r="R36" s="2">
        <v>0</v>
      </c>
      <c r="S36" s="2">
        <v>0.34815000000000002</v>
      </c>
      <c r="T36" s="2" t="s">
        <v>890</v>
      </c>
    </row>
    <row r="37" spans="1:20" x14ac:dyDescent="0.25">
      <c r="A37" s="3">
        <v>34</v>
      </c>
      <c r="B37" s="3">
        <v>2023</v>
      </c>
      <c r="C37" s="3" t="s">
        <v>32</v>
      </c>
      <c r="D37" s="3" t="s">
        <v>934</v>
      </c>
      <c r="E37" s="3" t="s">
        <v>755</v>
      </c>
      <c r="F37" s="3" t="s">
        <v>903</v>
      </c>
      <c r="G37" s="3" t="s">
        <v>117</v>
      </c>
      <c r="H37" s="3" t="s">
        <v>885</v>
      </c>
      <c r="I37" s="3">
        <v>1</v>
      </c>
      <c r="J37" s="3">
        <v>18.100000000000001</v>
      </c>
      <c r="K37" s="3">
        <v>44</v>
      </c>
      <c r="L37" s="3">
        <v>1592.8</v>
      </c>
      <c r="M37" s="3">
        <v>6.2E-2</v>
      </c>
      <c r="N37" s="3">
        <v>9.8750000000000004E-2</v>
      </c>
      <c r="O37" s="3">
        <v>3</v>
      </c>
      <c r="P37" s="3">
        <v>4.33</v>
      </c>
      <c r="Q37" s="3">
        <v>0.81810000000000005</v>
      </c>
      <c r="R37" s="3">
        <v>0.46759000000000001</v>
      </c>
      <c r="S37" s="3">
        <v>0.56633999999999995</v>
      </c>
      <c r="T37" s="3" t="s">
        <v>890</v>
      </c>
    </row>
    <row r="38" spans="1:20" x14ac:dyDescent="0.25">
      <c r="A38" s="2">
        <v>35</v>
      </c>
      <c r="B38" s="2">
        <v>2023</v>
      </c>
      <c r="C38" s="2" t="s">
        <v>39</v>
      </c>
      <c r="D38" s="2" t="s">
        <v>935</v>
      </c>
      <c r="E38" s="2" t="s">
        <v>725</v>
      </c>
      <c r="F38" s="2" t="s">
        <v>892</v>
      </c>
      <c r="G38" s="2" t="s">
        <v>24</v>
      </c>
      <c r="H38" s="2" t="s">
        <v>901</v>
      </c>
      <c r="I38" s="2">
        <v>4</v>
      </c>
      <c r="J38" s="2">
        <v>58.8</v>
      </c>
      <c r="K38" s="2">
        <v>45</v>
      </c>
      <c r="L38" s="2">
        <v>21168</v>
      </c>
      <c r="M38" s="2">
        <v>0.17100000000000001</v>
      </c>
      <c r="N38" s="2">
        <v>3.6197300000000001</v>
      </c>
      <c r="O38" s="2">
        <v>4</v>
      </c>
      <c r="P38" s="2">
        <v>4.3600000000000003</v>
      </c>
      <c r="Q38" s="2">
        <v>0.65339999999999998</v>
      </c>
      <c r="R38" s="2">
        <v>0.51278999999999997</v>
      </c>
      <c r="S38" s="2">
        <v>4.1325200000000004</v>
      </c>
      <c r="T38" s="2" t="s">
        <v>890</v>
      </c>
    </row>
    <row r="39" spans="1:20" x14ac:dyDescent="0.25">
      <c r="A39" s="3">
        <v>36</v>
      </c>
      <c r="B39" s="3">
        <v>2023</v>
      </c>
      <c r="C39" s="3" t="s">
        <v>46</v>
      </c>
      <c r="D39" s="3" t="s">
        <v>936</v>
      </c>
      <c r="E39" s="3" t="s">
        <v>755</v>
      </c>
      <c r="F39" s="3" t="s">
        <v>884</v>
      </c>
      <c r="G39" s="3" t="s">
        <v>58</v>
      </c>
      <c r="H39" s="3" t="s">
        <v>889</v>
      </c>
      <c r="I39" s="3">
        <v>5</v>
      </c>
      <c r="J39" s="3">
        <v>39.299999999999997</v>
      </c>
      <c r="K39" s="3">
        <v>47</v>
      </c>
      <c r="L39" s="3">
        <v>18471</v>
      </c>
      <c r="M39" s="3">
        <v>0.113</v>
      </c>
      <c r="N39" s="3">
        <v>2.0872199999999999</v>
      </c>
      <c r="O39" s="3">
        <v>2</v>
      </c>
      <c r="P39" s="3">
        <v>2.62</v>
      </c>
      <c r="Q39" s="3">
        <v>0.38429999999999997</v>
      </c>
      <c r="R39" s="3">
        <v>9.4649999999999998E-2</v>
      </c>
      <c r="S39" s="3">
        <v>2.18187</v>
      </c>
      <c r="T39" s="3" t="s">
        <v>886</v>
      </c>
    </row>
    <row r="40" spans="1:20" x14ac:dyDescent="0.25">
      <c r="A40" s="2">
        <v>37</v>
      </c>
      <c r="B40" s="2">
        <v>2023</v>
      </c>
      <c r="C40" s="2" t="s">
        <v>22</v>
      </c>
      <c r="D40" s="2" t="s">
        <v>937</v>
      </c>
      <c r="E40" s="2" t="s">
        <v>788</v>
      </c>
      <c r="F40" s="2" t="s">
        <v>884</v>
      </c>
      <c r="G40" s="2" t="s">
        <v>96</v>
      </c>
      <c r="H40" s="2" t="s">
        <v>893</v>
      </c>
      <c r="I40" s="2">
        <v>2</v>
      </c>
      <c r="J40" s="2">
        <v>39.9</v>
      </c>
      <c r="K40" s="2">
        <v>44</v>
      </c>
      <c r="L40" s="2">
        <v>7022.4</v>
      </c>
      <c r="M40" s="2">
        <v>0</v>
      </c>
      <c r="N40" s="2">
        <v>0</v>
      </c>
      <c r="O40" s="2">
        <v>0</v>
      </c>
      <c r="P40" s="2">
        <v>5.99</v>
      </c>
      <c r="Q40" s="2">
        <v>0.47520000000000001</v>
      </c>
      <c r="R40" s="2">
        <v>0</v>
      </c>
      <c r="S40" s="2">
        <v>0</v>
      </c>
      <c r="T40" s="2" t="s">
        <v>894</v>
      </c>
    </row>
    <row r="41" spans="1:20" x14ac:dyDescent="0.25">
      <c r="A41" s="3">
        <v>38</v>
      </c>
      <c r="B41" s="3">
        <v>2023</v>
      </c>
      <c r="C41" s="3" t="s">
        <v>32</v>
      </c>
      <c r="D41" s="3" t="s">
        <v>938</v>
      </c>
      <c r="E41" s="3" t="s">
        <v>777</v>
      </c>
      <c r="F41" s="3" t="s">
        <v>892</v>
      </c>
      <c r="G41" s="3" t="s">
        <v>96</v>
      </c>
      <c r="H41" s="3" t="s">
        <v>905</v>
      </c>
      <c r="I41" s="3">
        <v>5</v>
      </c>
      <c r="J41" s="3">
        <v>43</v>
      </c>
      <c r="K41" s="3">
        <v>50</v>
      </c>
      <c r="L41" s="3">
        <v>21500</v>
      </c>
      <c r="M41" s="3">
        <v>0.192</v>
      </c>
      <c r="N41" s="3">
        <v>4.1280000000000001</v>
      </c>
      <c r="O41" s="3">
        <v>3</v>
      </c>
      <c r="P41" s="3">
        <v>4.87</v>
      </c>
      <c r="Q41" s="3">
        <v>0.53979999999999995</v>
      </c>
      <c r="R41" s="3">
        <v>0.39432</v>
      </c>
      <c r="S41" s="3">
        <v>4.5223199999999997</v>
      </c>
      <c r="T41" s="3" t="s">
        <v>886</v>
      </c>
    </row>
    <row r="42" spans="1:20" x14ac:dyDescent="0.25">
      <c r="A42" s="2">
        <v>39</v>
      </c>
      <c r="B42" s="2">
        <v>2023</v>
      </c>
      <c r="C42" s="2" t="s">
        <v>39</v>
      </c>
      <c r="D42" s="2" t="s">
        <v>939</v>
      </c>
      <c r="E42" s="2" t="s">
        <v>788</v>
      </c>
      <c r="F42" s="2" t="s">
        <v>888</v>
      </c>
      <c r="G42" s="2" t="s">
        <v>88</v>
      </c>
      <c r="H42" s="2" t="s">
        <v>905</v>
      </c>
      <c r="I42" s="2">
        <v>4</v>
      </c>
      <c r="J42" s="2">
        <v>57.3</v>
      </c>
      <c r="K42" s="2">
        <v>50</v>
      </c>
      <c r="L42" s="2">
        <v>22920</v>
      </c>
      <c r="M42" s="2">
        <v>0.192</v>
      </c>
      <c r="N42" s="2">
        <v>4.4006400000000001</v>
      </c>
      <c r="O42" s="2">
        <v>3</v>
      </c>
      <c r="P42" s="2">
        <v>2.73</v>
      </c>
      <c r="Q42" s="2">
        <v>0.60160000000000002</v>
      </c>
      <c r="R42" s="2">
        <v>0.24636</v>
      </c>
      <c r="S42" s="2">
        <v>4.6470000000000002</v>
      </c>
      <c r="T42" s="2" t="s">
        <v>890</v>
      </c>
    </row>
    <row r="43" spans="1:20" x14ac:dyDescent="0.25">
      <c r="A43" s="3">
        <v>40</v>
      </c>
      <c r="B43" s="3">
        <v>2023</v>
      </c>
      <c r="C43" s="3" t="s">
        <v>46</v>
      </c>
      <c r="D43" s="3" t="s">
        <v>940</v>
      </c>
      <c r="E43" s="3" t="s">
        <v>755</v>
      </c>
      <c r="F43" s="3" t="s">
        <v>903</v>
      </c>
      <c r="G43" s="3" t="s">
        <v>92</v>
      </c>
      <c r="H43" s="3" t="s">
        <v>905</v>
      </c>
      <c r="I43" s="3">
        <v>1</v>
      </c>
      <c r="J43" s="3">
        <v>23.2</v>
      </c>
      <c r="K43" s="3">
        <v>50</v>
      </c>
      <c r="L43" s="3">
        <v>2320</v>
      </c>
      <c r="M43" s="3">
        <v>0.192</v>
      </c>
      <c r="N43" s="3">
        <v>0.44544</v>
      </c>
      <c r="O43" s="3">
        <v>2</v>
      </c>
      <c r="P43" s="3">
        <v>2.48</v>
      </c>
      <c r="Q43" s="3">
        <v>0.56599999999999995</v>
      </c>
      <c r="R43" s="3">
        <v>0.14036999999999999</v>
      </c>
      <c r="S43" s="3">
        <v>0.58581000000000005</v>
      </c>
      <c r="T43" s="3" t="s">
        <v>886</v>
      </c>
    </row>
    <row r="44" spans="1:20" x14ac:dyDescent="0.25">
      <c r="A44" s="2">
        <v>41</v>
      </c>
      <c r="B44" s="2">
        <v>2023</v>
      </c>
      <c r="C44" s="2" t="s">
        <v>22</v>
      </c>
      <c r="D44" s="2" t="s">
        <v>941</v>
      </c>
      <c r="E44" s="2" t="s">
        <v>788</v>
      </c>
      <c r="F44" s="2" t="s">
        <v>884</v>
      </c>
      <c r="G44" s="2" t="s">
        <v>24</v>
      </c>
      <c r="H44" s="2" t="s">
        <v>911</v>
      </c>
      <c r="I44" s="2">
        <v>1</v>
      </c>
      <c r="J44" s="2">
        <v>58.1</v>
      </c>
      <c r="K44" s="2">
        <v>49</v>
      </c>
      <c r="L44" s="2">
        <v>5693.8</v>
      </c>
      <c r="M44" s="2">
        <v>9.6000000000000002E-2</v>
      </c>
      <c r="N44" s="2">
        <v>0.54659999999999997</v>
      </c>
      <c r="O44" s="2">
        <v>1</v>
      </c>
      <c r="P44" s="2">
        <v>3.79</v>
      </c>
      <c r="Q44" s="2">
        <v>0.5333</v>
      </c>
      <c r="R44" s="2">
        <v>9.9040000000000003E-2</v>
      </c>
      <c r="S44" s="2">
        <v>0.64563999999999999</v>
      </c>
      <c r="T44" s="2" t="s">
        <v>886</v>
      </c>
    </row>
    <row r="45" spans="1:20" x14ac:dyDescent="0.25">
      <c r="A45" s="3">
        <v>42</v>
      </c>
      <c r="B45" s="3">
        <v>2023</v>
      </c>
      <c r="C45" s="3" t="s">
        <v>32</v>
      </c>
      <c r="D45" s="3" t="s">
        <v>942</v>
      </c>
      <c r="E45" s="3" t="s">
        <v>749</v>
      </c>
      <c r="F45" s="3" t="s">
        <v>900</v>
      </c>
      <c r="G45" s="3" t="s">
        <v>204</v>
      </c>
      <c r="H45" s="3" t="s">
        <v>893</v>
      </c>
      <c r="I45" s="3">
        <v>2</v>
      </c>
      <c r="J45" s="3">
        <v>10.1</v>
      </c>
      <c r="K45" s="3">
        <v>45</v>
      </c>
      <c r="L45" s="3">
        <v>1818</v>
      </c>
      <c r="M45" s="3">
        <v>0</v>
      </c>
      <c r="N45" s="3">
        <v>0</v>
      </c>
      <c r="O45" s="3">
        <v>0</v>
      </c>
      <c r="P45" s="3">
        <v>6.32</v>
      </c>
      <c r="Q45" s="3">
        <v>0.62870000000000004</v>
      </c>
      <c r="R45" s="3">
        <v>0</v>
      </c>
      <c r="S45" s="3">
        <v>0</v>
      </c>
      <c r="T45" s="3" t="s">
        <v>894</v>
      </c>
    </row>
    <row r="46" spans="1:20" x14ac:dyDescent="0.25">
      <c r="A46" s="2">
        <v>43</v>
      </c>
      <c r="B46" s="2">
        <v>2023</v>
      </c>
      <c r="C46" s="2" t="s">
        <v>39</v>
      </c>
      <c r="D46" s="2" t="s">
        <v>943</v>
      </c>
      <c r="E46" s="2" t="s">
        <v>742</v>
      </c>
      <c r="F46" s="2" t="s">
        <v>888</v>
      </c>
      <c r="G46" s="2" t="s">
        <v>88</v>
      </c>
      <c r="H46" s="2" t="s">
        <v>914</v>
      </c>
      <c r="I46" s="2">
        <v>4</v>
      </c>
      <c r="J46" s="2">
        <v>33</v>
      </c>
      <c r="K46" s="2">
        <v>50</v>
      </c>
      <c r="L46" s="2">
        <v>13200</v>
      </c>
      <c r="M46" s="2">
        <v>8.8999999999999996E-2</v>
      </c>
      <c r="N46" s="2">
        <v>1.1748000000000001</v>
      </c>
      <c r="O46" s="2">
        <v>3</v>
      </c>
      <c r="P46" s="2">
        <v>7.8</v>
      </c>
      <c r="Q46" s="2">
        <v>0.35770000000000002</v>
      </c>
      <c r="R46" s="2">
        <v>0.41850999999999999</v>
      </c>
      <c r="S46" s="2">
        <v>1.59331</v>
      </c>
      <c r="T46" s="2" t="s">
        <v>894</v>
      </c>
    </row>
    <row r="47" spans="1:20" x14ac:dyDescent="0.25">
      <c r="A47" s="3">
        <v>44</v>
      </c>
      <c r="B47" s="3">
        <v>2023</v>
      </c>
      <c r="C47" s="3" t="s">
        <v>46</v>
      </c>
      <c r="D47" s="3" t="s">
        <v>944</v>
      </c>
      <c r="E47" s="3" t="s">
        <v>909</v>
      </c>
      <c r="F47" s="3" t="s">
        <v>903</v>
      </c>
      <c r="G47" s="3" t="s">
        <v>54</v>
      </c>
      <c r="H47" s="3" t="s">
        <v>905</v>
      </c>
      <c r="I47" s="3">
        <v>4</v>
      </c>
      <c r="J47" s="3">
        <v>8.9</v>
      </c>
      <c r="K47" s="3">
        <v>50</v>
      </c>
      <c r="L47" s="3">
        <v>3560</v>
      </c>
      <c r="M47" s="3">
        <v>0.192</v>
      </c>
      <c r="N47" s="3">
        <v>0.68352000000000002</v>
      </c>
      <c r="O47" s="3">
        <v>4</v>
      </c>
      <c r="P47" s="3">
        <v>4.75</v>
      </c>
      <c r="Q47" s="3">
        <v>0.66869999999999996</v>
      </c>
      <c r="R47" s="3">
        <v>0.63526000000000005</v>
      </c>
      <c r="S47" s="3">
        <v>1.3187800000000001</v>
      </c>
      <c r="T47" s="3" t="s">
        <v>894</v>
      </c>
    </row>
    <row r="48" spans="1:20" x14ac:dyDescent="0.25">
      <c r="A48" s="2">
        <v>45</v>
      </c>
      <c r="B48" s="2">
        <v>2023</v>
      </c>
      <c r="C48" s="2" t="s">
        <v>22</v>
      </c>
      <c r="D48" s="2" t="s">
        <v>945</v>
      </c>
      <c r="E48" s="2" t="s">
        <v>742</v>
      </c>
      <c r="F48" s="2" t="s">
        <v>903</v>
      </c>
      <c r="G48" s="2" t="s">
        <v>70</v>
      </c>
      <c r="H48" s="2" t="s">
        <v>889</v>
      </c>
      <c r="I48" s="2">
        <v>1</v>
      </c>
      <c r="J48" s="2">
        <v>4.0999999999999996</v>
      </c>
      <c r="K48" s="2">
        <v>45</v>
      </c>
      <c r="L48" s="2">
        <v>369</v>
      </c>
      <c r="M48" s="2">
        <v>0.113</v>
      </c>
      <c r="N48" s="2">
        <v>4.1700000000000001E-2</v>
      </c>
      <c r="O48" s="2">
        <v>3</v>
      </c>
      <c r="P48" s="2">
        <v>5.92</v>
      </c>
      <c r="Q48" s="2">
        <v>0.57150000000000001</v>
      </c>
      <c r="R48" s="2">
        <v>0.45673999999999998</v>
      </c>
      <c r="S48" s="2">
        <v>0.49843999999999999</v>
      </c>
      <c r="T48" s="2" t="s">
        <v>894</v>
      </c>
    </row>
    <row r="49" spans="1:20" x14ac:dyDescent="0.25">
      <c r="A49" s="3">
        <v>46</v>
      </c>
      <c r="B49" s="3">
        <v>2023</v>
      </c>
      <c r="C49" s="3" t="s">
        <v>32</v>
      </c>
      <c r="D49" s="3" t="s">
        <v>946</v>
      </c>
      <c r="E49" s="3" t="s">
        <v>725</v>
      </c>
      <c r="F49" s="3" t="s">
        <v>892</v>
      </c>
      <c r="G49" s="3" t="s">
        <v>58</v>
      </c>
      <c r="H49" s="3" t="s">
        <v>885</v>
      </c>
      <c r="I49" s="3">
        <v>1</v>
      </c>
      <c r="J49" s="3">
        <v>12</v>
      </c>
      <c r="K49" s="3">
        <v>44</v>
      </c>
      <c r="L49" s="3">
        <v>1056</v>
      </c>
      <c r="M49" s="3">
        <v>6.2E-2</v>
      </c>
      <c r="N49" s="3">
        <v>6.547E-2</v>
      </c>
      <c r="O49" s="3">
        <v>2</v>
      </c>
      <c r="P49" s="3">
        <v>6.92</v>
      </c>
      <c r="Q49" s="3">
        <v>0.3957</v>
      </c>
      <c r="R49" s="3">
        <v>0.24096999999999999</v>
      </c>
      <c r="S49" s="3">
        <v>0.30643999999999999</v>
      </c>
      <c r="T49" s="3" t="s">
        <v>886</v>
      </c>
    </row>
    <row r="50" spans="1:20" x14ac:dyDescent="0.25">
      <c r="A50" s="2">
        <v>47</v>
      </c>
      <c r="B50" s="2">
        <v>2023</v>
      </c>
      <c r="C50" s="2" t="s">
        <v>39</v>
      </c>
      <c r="D50" s="2" t="s">
        <v>947</v>
      </c>
      <c r="E50" s="2" t="s">
        <v>788</v>
      </c>
      <c r="F50" s="2" t="s">
        <v>884</v>
      </c>
      <c r="G50" s="2" t="s">
        <v>33</v>
      </c>
      <c r="H50" s="2" t="s">
        <v>901</v>
      </c>
      <c r="I50" s="2">
        <v>1</v>
      </c>
      <c r="J50" s="2">
        <v>30.8</v>
      </c>
      <c r="K50" s="2">
        <v>50</v>
      </c>
      <c r="L50" s="2">
        <v>3080</v>
      </c>
      <c r="M50" s="2">
        <v>0.17100000000000001</v>
      </c>
      <c r="N50" s="2">
        <v>0.52668000000000004</v>
      </c>
      <c r="O50" s="2">
        <v>4</v>
      </c>
      <c r="P50" s="2">
        <v>3.32</v>
      </c>
      <c r="Q50" s="2">
        <v>0.72809999999999997</v>
      </c>
      <c r="R50" s="2">
        <v>0.48346</v>
      </c>
      <c r="S50" s="2">
        <v>1.01014</v>
      </c>
      <c r="T50" s="2" t="s">
        <v>890</v>
      </c>
    </row>
    <row r="51" spans="1:20" x14ac:dyDescent="0.25">
      <c r="A51" s="3">
        <v>48</v>
      </c>
      <c r="B51" s="3">
        <v>2023</v>
      </c>
      <c r="C51" s="3" t="s">
        <v>46</v>
      </c>
      <c r="D51" s="3" t="s">
        <v>948</v>
      </c>
      <c r="E51" s="3" t="s">
        <v>777</v>
      </c>
      <c r="F51" s="3" t="s">
        <v>900</v>
      </c>
      <c r="G51" s="3" t="s">
        <v>88</v>
      </c>
      <c r="H51" s="3" t="s">
        <v>901</v>
      </c>
      <c r="I51" s="3">
        <v>5</v>
      </c>
      <c r="J51" s="3">
        <v>33.700000000000003</v>
      </c>
      <c r="K51" s="3">
        <v>46</v>
      </c>
      <c r="L51" s="3">
        <v>15502</v>
      </c>
      <c r="M51" s="3">
        <v>0.17100000000000001</v>
      </c>
      <c r="N51" s="3">
        <v>2.6508400000000001</v>
      </c>
      <c r="O51" s="3">
        <v>1</v>
      </c>
      <c r="P51" s="3">
        <v>6.59</v>
      </c>
      <c r="Q51" s="3">
        <v>0.62880000000000003</v>
      </c>
      <c r="R51" s="3">
        <v>0.19061</v>
      </c>
      <c r="S51" s="3">
        <v>2.84145</v>
      </c>
      <c r="T51" s="3" t="s">
        <v>890</v>
      </c>
    </row>
    <row r="52" spans="1:20" x14ac:dyDescent="0.25">
      <c r="A52" s="2">
        <v>49</v>
      </c>
      <c r="B52" s="2">
        <v>2023</v>
      </c>
      <c r="C52" s="2" t="s">
        <v>22</v>
      </c>
      <c r="D52" s="2" t="s">
        <v>949</v>
      </c>
      <c r="E52" s="2" t="s">
        <v>742</v>
      </c>
      <c r="F52" s="2" t="s">
        <v>903</v>
      </c>
      <c r="G52" s="2" t="s">
        <v>58</v>
      </c>
      <c r="H52" s="2" t="s">
        <v>885</v>
      </c>
      <c r="I52" s="2">
        <v>4</v>
      </c>
      <c r="J52" s="2">
        <v>11.7</v>
      </c>
      <c r="K52" s="2">
        <v>46</v>
      </c>
      <c r="L52" s="2">
        <v>4305.6000000000004</v>
      </c>
      <c r="M52" s="2">
        <v>6.2E-2</v>
      </c>
      <c r="N52" s="2">
        <v>0.26695000000000002</v>
      </c>
      <c r="O52" s="2">
        <v>4</v>
      </c>
      <c r="P52" s="2">
        <v>2.99</v>
      </c>
      <c r="Q52" s="2">
        <v>0.46450000000000002</v>
      </c>
      <c r="R52" s="2">
        <v>0.25555</v>
      </c>
      <c r="S52" s="2">
        <v>0.52249999999999996</v>
      </c>
      <c r="T52" s="2" t="s">
        <v>886</v>
      </c>
    </row>
    <row r="53" spans="1:20" x14ac:dyDescent="0.25">
      <c r="A53" s="3">
        <v>50</v>
      </c>
      <c r="B53" s="3">
        <v>2023</v>
      </c>
      <c r="C53" s="3" t="s">
        <v>32</v>
      </c>
      <c r="D53" s="3" t="s">
        <v>950</v>
      </c>
      <c r="E53" s="3" t="s">
        <v>755</v>
      </c>
      <c r="F53" s="3" t="s">
        <v>884</v>
      </c>
      <c r="G53" s="3" t="s">
        <v>24</v>
      </c>
      <c r="H53" s="3" t="s">
        <v>897</v>
      </c>
      <c r="I53" s="3">
        <v>2</v>
      </c>
      <c r="J53" s="3">
        <v>2.9</v>
      </c>
      <c r="K53" s="3">
        <v>47</v>
      </c>
      <c r="L53" s="3">
        <v>545.20000000000005</v>
      </c>
      <c r="M53" s="3">
        <v>0</v>
      </c>
      <c r="N53" s="3">
        <v>0</v>
      </c>
      <c r="O53" s="3">
        <v>0</v>
      </c>
      <c r="P53" s="3">
        <v>2.04</v>
      </c>
      <c r="Q53" s="3">
        <v>0.43430000000000002</v>
      </c>
      <c r="R53" s="3">
        <v>0</v>
      </c>
      <c r="S53" s="3">
        <v>0</v>
      </c>
      <c r="T53" s="3" t="s">
        <v>894</v>
      </c>
    </row>
    <row r="54" spans="1:20" x14ac:dyDescent="0.25">
      <c r="A54" s="2">
        <v>51</v>
      </c>
      <c r="B54" s="2">
        <v>2023</v>
      </c>
      <c r="C54" s="2" t="s">
        <v>39</v>
      </c>
      <c r="D54" s="2" t="s">
        <v>951</v>
      </c>
      <c r="E54" s="2" t="s">
        <v>742</v>
      </c>
      <c r="F54" s="2" t="s">
        <v>892</v>
      </c>
      <c r="G54" s="2" t="s">
        <v>110</v>
      </c>
      <c r="H54" s="2" t="s">
        <v>893</v>
      </c>
      <c r="I54" s="2">
        <v>2</v>
      </c>
      <c r="J54" s="2">
        <v>14</v>
      </c>
      <c r="K54" s="2">
        <v>49</v>
      </c>
      <c r="L54" s="2">
        <v>2744</v>
      </c>
      <c r="M54" s="2">
        <v>0</v>
      </c>
      <c r="N54" s="2">
        <v>0</v>
      </c>
      <c r="O54" s="2">
        <v>2</v>
      </c>
      <c r="P54" s="2">
        <v>5.14</v>
      </c>
      <c r="Q54" s="2">
        <v>0.54369999999999996</v>
      </c>
      <c r="R54" s="2">
        <v>0.27387</v>
      </c>
      <c r="S54" s="2">
        <v>0.27387</v>
      </c>
      <c r="T54" s="2" t="s">
        <v>886</v>
      </c>
    </row>
    <row r="55" spans="1:20" x14ac:dyDescent="0.25">
      <c r="A55" s="3">
        <v>52</v>
      </c>
      <c r="B55" s="3">
        <v>2023</v>
      </c>
      <c r="C55" s="3" t="s">
        <v>46</v>
      </c>
      <c r="D55" s="3" t="s">
        <v>952</v>
      </c>
      <c r="E55" s="3" t="s">
        <v>793</v>
      </c>
      <c r="F55" s="3" t="s">
        <v>900</v>
      </c>
      <c r="G55" s="3" t="s">
        <v>65</v>
      </c>
      <c r="H55" s="3" t="s">
        <v>893</v>
      </c>
      <c r="I55" s="3">
        <v>5</v>
      </c>
      <c r="J55" s="3">
        <v>57.1</v>
      </c>
      <c r="K55" s="3">
        <v>49</v>
      </c>
      <c r="L55" s="3">
        <v>27979</v>
      </c>
      <c r="M55" s="3">
        <v>0</v>
      </c>
      <c r="N55" s="3">
        <v>0</v>
      </c>
      <c r="O55" s="3">
        <v>2</v>
      </c>
      <c r="P55" s="3">
        <v>4.09</v>
      </c>
      <c r="Q55" s="3">
        <v>0.35210000000000002</v>
      </c>
      <c r="R55" s="3">
        <v>0.14113000000000001</v>
      </c>
      <c r="S55" s="3">
        <v>0.14113000000000001</v>
      </c>
      <c r="T55" s="3" t="s">
        <v>894</v>
      </c>
    </row>
    <row r="56" spans="1:20" x14ac:dyDescent="0.25">
      <c r="A56" s="2">
        <v>53</v>
      </c>
      <c r="B56" s="2">
        <v>2023</v>
      </c>
      <c r="C56" s="2" t="s">
        <v>22</v>
      </c>
      <c r="D56" s="2" t="s">
        <v>953</v>
      </c>
      <c r="E56" s="2" t="s">
        <v>793</v>
      </c>
      <c r="F56" s="2" t="s">
        <v>888</v>
      </c>
      <c r="G56" s="2" t="s">
        <v>154</v>
      </c>
      <c r="H56" s="2" t="s">
        <v>901</v>
      </c>
      <c r="I56" s="2">
        <v>5</v>
      </c>
      <c r="J56" s="2">
        <v>23</v>
      </c>
      <c r="K56" s="2">
        <v>50</v>
      </c>
      <c r="L56" s="2">
        <v>11500</v>
      </c>
      <c r="M56" s="2">
        <v>0.17100000000000001</v>
      </c>
      <c r="N56" s="2">
        <v>1.9664999999999999</v>
      </c>
      <c r="O56" s="2">
        <v>4</v>
      </c>
      <c r="P56" s="2">
        <v>5.05</v>
      </c>
      <c r="Q56" s="2">
        <v>0.56820000000000004</v>
      </c>
      <c r="R56" s="2">
        <v>0.57387999999999995</v>
      </c>
      <c r="S56" s="2">
        <v>2.5403799999999999</v>
      </c>
      <c r="T56" s="2" t="s">
        <v>886</v>
      </c>
    </row>
    <row r="57" spans="1:20" x14ac:dyDescent="0.25">
      <c r="A57" s="3">
        <v>54</v>
      </c>
      <c r="B57" s="3">
        <v>2023</v>
      </c>
      <c r="C57" s="3" t="s">
        <v>32</v>
      </c>
      <c r="D57" s="3" t="s">
        <v>954</v>
      </c>
      <c r="E57" s="3" t="s">
        <v>742</v>
      </c>
      <c r="F57" s="3" t="s">
        <v>900</v>
      </c>
      <c r="G57" s="3" t="s">
        <v>70</v>
      </c>
      <c r="H57" s="3" t="s">
        <v>889</v>
      </c>
      <c r="I57" s="3">
        <v>1</v>
      </c>
      <c r="J57" s="3">
        <v>48.2</v>
      </c>
      <c r="K57" s="3">
        <v>49</v>
      </c>
      <c r="L57" s="3">
        <v>4723.6000000000004</v>
      </c>
      <c r="M57" s="3">
        <v>0.113</v>
      </c>
      <c r="N57" s="3">
        <v>0.53376999999999997</v>
      </c>
      <c r="O57" s="3">
        <v>3</v>
      </c>
      <c r="P57" s="3">
        <v>4.99</v>
      </c>
      <c r="Q57" s="3">
        <v>0.42509999999999998</v>
      </c>
      <c r="R57" s="3">
        <v>0.31181999999999999</v>
      </c>
      <c r="S57" s="3">
        <v>0.84558999999999995</v>
      </c>
      <c r="T57" s="3" t="s">
        <v>894</v>
      </c>
    </row>
    <row r="58" spans="1:20" ht="24" x14ac:dyDescent="0.25">
      <c r="A58" s="2">
        <v>55</v>
      </c>
      <c r="B58" s="2">
        <v>2023</v>
      </c>
      <c r="C58" s="2" t="s">
        <v>39</v>
      </c>
      <c r="D58" s="2" t="s">
        <v>955</v>
      </c>
      <c r="E58" s="2" t="s">
        <v>742</v>
      </c>
      <c r="F58" s="2" t="s">
        <v>900</v>
      </c>
      <c r="G58" s="2" t="s">
        <v>204</v>
      </c>
      <c r="H58" s="2" t="s">
        <v>907</v>
      </c>
      <c r="I58" s="2">
        <v>3</v>
      </c>
      <c r="J58" s="2">
        <v>14.2</v>
      </c>
      <c r="K58" s="2">
        <v>46</v>
      </c>
      <c r="L58" s="2">
        <v>3919.2</v>
      </c>
      <c r="M58" s="2">
        <v>4.1000000000000002E-2</v>
      </c>
      <c r="N58" s="2">
        <v>0.16069</v>
      </c>
      <c r="O58" s="2">
        <v>2</v>
      </c>
      <c r="P58" s="2">
        <v>5.7</v>
      </c>
      <c r="Q58" s="2">
        <v>0.76829999999999998</v>
      </c>
      <c r="R58" s="2">
        <v>0.40289999999999998</v>
      </c>
      <c r="S58" s="2">
        <v>0.56359000000000004</v>
      </c>
      <c r="T58" s="2" t="s">
        <v>894</v>
      </c>
    </row>
    <row r="59" spans="1:20" x14ac:dyDescent="0.25">
      <c r="A59" s="3">
        <v>56</v>
      </c>
      <c r="B59" s="3">
        <v>2023</v>
      </c>
      <c r="C59" s="3" t="s">
        <v>46</v>
      </c>
      <c r="D59" s="3" t="s">
        <v>956</v>
      </c>
      <c r="E59" s="3" t="s">
        <v>793</v>
      </c>
      <c r="F59" s="3" t="s">
        <v>884</v>
      </c>
      <c r="G59" s="3" t="s">
        <v>70</v>
      </c>
      <c r="H59" s="3" t="s">
        <v>905</v>
      </c>
      <c r="I59" s="3">
        <v>5</v>
      </c>
      <c r="J59" s="3">
        <v>12.2</v>
      </c>
      <c r="K59" s="3">
        <v>50</v>
      </c>
      <c r="L59" s="3">
        <v>6100</v>
      </c>
      <c r="M59" s="3">
        <v>0.192</v>
      </c>
      <c r="N59" s="3">
        <v>1.1712</v>
      </c>
      <c r="O59" s="3">
        <v>0</v>
      </c>
      <c r="P59" s="3">
        <v>4.91</v>
      </c>
      <c r="Q59" s="3">
        <v>0.40460000000000002</v>
      </c>
      <c r="R59" s="3">
        <v>0</v>
      </c>
      <c r="S59" s="3">
        <v>1.1712</v>
      </c>
      <c r="T59" s="3" t="s">
        <v>894</v>
      </c>
    </row>
    <row r="60" spans="1:20" ht="24" x14ac:dyDescent="0.25">
      <c r="A60" s="2">
        <v>57</v>
      </c>
      <c r="B60" s="2">
        <v>2023</v>
      </c>
      <c r="C60" s="2" t="s">
        <v>22</v>
      </c>
      <c r="D60" s="2" t="s">
        <v>957</v>
      </c>
      <c r="E60" s="2" t="s">
        <v>777</v>
      </c>
      <c r="F60" s="2" t="s">
        <v>903</v>
      </c>
      <c r="G60" s="2" t="s">
        <v>65</v>
      </c>
      <c r="H60" s="2" t="s">
        <v>907</v>
      </c>
      <c r="I60" s="2">
        <v>4</v>
      </c>
      <c r="J60" s="2">
        <v>13.5</v>
      </c>
      <c r="K60" s="2">
        <v>49</v>
      </c>
      <c r="L60" s="2">
        <v>5292</v>
      </c>
      <c r="M60" s="2">
        <v>4.1000000000000002E-2</v>
      </c>
      <c r="N60" s="2">
        <v>0.21697</v>
      </c>
      <c r="O60" s="2">
        <v>2</v>
      </c>
      <c r="P60" s="2">
        <v>3.38</v>
      </c>
      <c r="Q60" s="2">
        <v>0.40179999999999999</v>
      </c>
      <c r="R60" s="2">
        <v>0.13309000000000001</v>
      </c>
      <c r="S60" s="2">
        <v>0.35005999999999998</v>
      </c>
      <c r="T60" s="2" t="s">
        <v>894</v>
      </c>
    </row>
    <row r="61" spans="1:20" x14ac:dyDescent="0.25">
      <c r="A61" s="3">
        <v>58</v>
      </c>
      <c r="B61" s="3">
        <v>2023</v>
      </c>
      <c r="C61" s="3" t="s">
        <v>32</v>
      </c>
      <c r="D61" s="3" t="s">
        <v>958</v>
      </c>
      <c r="E61" s="3" t="s">
        <v>749</v>
      </c>
      <c r="F61" s="3" t="s">
        <v>903</v>
      </c>
      <c r="G61" s="3" t="s">
        <v>70</v>
      </c>
      <c r="H61" s="3" t="s">
        <v>897</v>
      </c>
      <c r="I61" s="3">
        <v>2</v>
      </c>
      <c r="J61" s="3">
        <v>23.8</v>
      </c>
      <c r="K61" s="3">
        <v>45</v>
      </c>
      <c r="L61" s="3">
        <v>4284</v>
      </c>
      <c r="M61" s="3">
        <v>0</v>
      </c>
      <c r="N61" s="3">
        <v>0</v>
      </c>
      <c r="O61" s="3">
        <v>0</v>
      </c>
      <c r="P61" s="3">
        <v>4.83</v>
      </c>
      <c r="Q61" s="3">
        <v>0.57769999999999999</v>
      </c>
      <c r="R61" s="3">
        <v>0</v>
      </c>
      <c r="S61" s="3">
        <v>0</v>
      </c>
      <c r="T61" s="3" t="s">
        <v>886</v>
      </c>
    </row>
    <row r="62" spans="1:20" x14ac:dyDescent="0.25">
      <c r="A62" s="2">
        <v>59</v>
      </c>
      <c r="B62" s="2">
        <v>2023</v>
      </c>
      <c r="C62" s="2" t="s">
        <v>39</v>
      </c>
      <c r="D62" s="2" t="s">
        <v>959</v>
      </c>
      <c r="E62" s="2" t="s">
        <v>793</v>
      </c>
      <c r="F62" s="2" t="s">
        <v>888</v>
      </c>
      <c r="G62" s="2" t="s">
        <v>117</v>
      </c>
      <c r="H62" s="2" t="s">
        <v>893</v>
      </c>
      <c r="I62" s="2">
        <v>2</v>
      </c>
      <c r="J62" s="2">
        <v>24.5</v>
      </c>
      <c r="K62" s="2">
        <v>45</v>
      </c>
      <c r="L62" s="2">
        <v>4410</v>
      </c>
      <c r="M62" s="2">
        <v>0</v>
      </c>
      <c r="N62" s="2">
        <v>0</v>
      </c>
      <c r="O62" s="2">
        <v>3</v>
      </c>
      <c r="P62" s="2">
        <v>6.32</v>
      </c>
      <c r="Q62" s="2">
        <v>0.64700000000000002</v>
      </c>
      <c r="R62" s="2">
        <v>0.55201999999999996</v>
      </c>
      <c r="S62" s="2">
        <v>0.55201999999999996</v>
      </c>
      <c r="T62" s="2" t="s">
        <v>886</v>
      </c>
    </row>
    <row r="63" spans="1:20" x14ac:dyDescent="0.25">
      <c r="A63" s="3">
        <v>60</v>
      </c>
      <c r="B63" s="3">
        <v>2023</v>
      </c>
      <c r="C63" s="3" t="s">
        <v>46</v>
      </c>
      <c r="D63" s="3" t="s">
        <v>960</v>
      </c>
      <c r="E63" s="3" t="s">
        <v>788</v>
      </c>
      <c r="F63" s="3" t="s">
        <v>903</v>
      </c>
      <c r="G63" s="3" t="s">
        <v>110</v>
      </c>
      <c r="H63" s="3" t="s">
        <v>905</v>
      </c>
      <c r="I63" s="3">
        <v>5</v>
      </c>
      <c r="J63" s="3">
        <v>5.5</v>
      </c>
      <c r="K63" s="3">
        <v>45</v>
      </c>
      <c r="L63" s="3">
        <v>2475</v>
      </c>
      <c r="M63" s="3">
        <v>0.192</v>
      </c>
      <c r="N63" s="3">
        <v>0.47520000000000001</v>
      </c>
      <c r="O63" s="3">
        <v>0</v>
      </c>
      <c r="P63" s="3">
        <v>7.11</v>
      </c>
      <c r="Q63" s="3">
        <v>0.5655</v>
      </c>
      <c r="R63" s="3">
        <v>0</v>
      </c>
      <c r="S63" s="3">
        <v>0.47520000000000001</v>
      </c>
      <c r="T63" s="3" t="s">
        <v>890</v>
      </c>
    </row>
    <row r="64" spans="1:20" x14ac:dyDescent="0.25">
      <c r="A64" s="2">
        <v>61</v>
      </c>
      <c r="B64" s="2">
        <v>2023</v>
      </c>
      <c r="C64" s="2" t="s">
        <v>22</v>
      </c>
      <c r="D64" s="2" t="s">
        <v>961</v>
      </c>
      <c r="E64" s="2" t="s">
        <v>909</v>
      </c>
      <c r="F64" s="2" t="s">
        <v>884</v>
      </c>
      <c r="G64" s="2" t="s">
        <v>54</v>
      </c>
      <c r="H64" s="2" t="s">
        <v>885</v>
      </c>
      <c r="I64" s="2">
        <v>5</v>
      </c>
      <c r="J64" s="2">
        <v>54.5</v>
      </c>
      <c r="K64" s="2">
        <v>48</v>
      </c>
      <c r="L64" s="2">
        <v>26160</v>
      </c>
      <c r="M64" s="2">
        <v>6.2E-2</v>
      </c>
      <c r="N64" s="2">
        <v>1.62192</v>
      </c>
      <c r="O64" s="2">
        <v>4</v>
      </c>
      <c r="P64" s="2">
        <v>7.13</v>
      </c>
      <c r="Q64" s="2">
        <v>0.3906</v>
      </c>
      <c r="R64" s="2">
        <v>0.53471999999999997</v>
      </c>
      <c r="S64" s="2">
        <v>2.1566399999999999</v>
      </c>
      <c r="T64" s="2" t="s">
        <v>886</v>
      </c>
    </row>
    <row r="65" spans="1:20" x14ac:dyDescent="0.25">
      <c r="A65" s="3">
        <v>62</v>
      </c>
      <c r="B65" s="3">
        <v>2023</v>
      </c>
      <c r="C65" s="3" t="s">
        <v>32</v>
      </c>
      <c r="D65" s="3" t="s">
        <v>962</v>
      </c>
      <c r="E65" s="3" t="s">
        <v>749</v>
      </c>
      <c r="F65" s="3" t="s">
        <v>892</v>
      </c>
      <c r="G65" s="3" t="s">
        <v>88</v>
      </c>
      <c r="H65" s="3" t="s">
        <v>893</v>
      </c>
      <c r="I65" s="3">
        <v>4</v>
      </c>
      <c r="J65" s="3">
        <v>18.2</v>
      </c>
      <c r="K65" s="3">
        <v>49</v>
      </c>
      <c r="L65" s="3">
        <v>7134.4</v>
      </c>
      <c r="M65" s="3">
        <v>0</v>
      </c>
      <c r="N65" s="3">
        <v>0</v>
      </c>
      <c r="O65" s="3">
        <v>3</v>
      </c>
      <c r="P65" s="3">
        <v>6.42</v>
      </c>
      <c r="Q65" s="3">
        <v>0.46589999999999998</v>
      </c>
      <c r="R65" s="3">
        <v>0.43969000000000003</v>
      </c>
      <c r="S65" s="3">
        <v>0.43969000000000003</v>
      </c>
      <c r="T65" s="3" t="s">
        <v>886</v>
      </c>
    </row>
    <row r="66" spans="1:20" x14ac:dyDescent="0.25">
      <c r="A66" s="2">
        <v>63</v>
      </c>
      <c r="B66" s="2">
        <v>2023</v>
      </c>
      <c r="C66" s="2" t="s">
        <v>39</v>
      </c>
      <c r="D66" s="2" t="s">
        <v>963</v>
      </c>
      <c r="E66" s="2" t="s">
        <v>909</v>
      </c>
      <c r="F66" s="2" t="s">
        <v>900</v>
      </c>
      <c r="G66" s="2" t="s">
        <v>92</v>
      </c>
      <c r="H66" s="2" t="s">
        <v>885</v>
      </c>
      <c r="I66" s="2">
        <v>5</v>
      </c>
      <c r="J66" s="2">
        <v>54.1</v>
      </c>
      <c r="K66" s="2">
        <v>47</v>
      </c>
      <c r="L66" s="2">
        <v>25427</v>
      </c>
      <c r="M66" s="2">
        <v>6.2E-2</v>
      </c>
      <c r="N66" s="2">
        <v>1.57647</v>
      </c>
      <c r="O66" s="2">
        <v>0</v>
      </c>
      <c r="P66" s="2">
        <v>2.2400000000000002</v>
      </c>
      <c r="Q66" s="2">
        <v>0.57120000000000004</v>
      </c>
      <c r="R66" s="2">
        <v>0</v>
      </c>
      <c r="S66" s="2">
        <v>1.57647</v>
      </c>
      <c r="T66" s="2" t="s">
        <v>890</v>
      </c>
    </row>
    <row r="67" spans="1:20" x14ac:dyDescent="0.25">
      <c r="A67" s="3">
        <v>64</v>
      </c>
      <c r="B67" s="3">
        <v>2023</v>
      </c>
      <c r="C67" s="3" t="s">
        <v>46</v>
      </c>
      <c r="D67" s="3" t="s">
        <v>964</v>
      </c>
      <c r="E67" s="3" t="s">
        <v>742</v>
      </c>
      <c r="F67" s="3" t="s">
        <v>884</v>
      </c>
      <c r="G67" s="3" t="s">
        <v>139</v>
      </c>
      <c r="H67" s="3" t="s">
        <v>911</v>
      </c>
      <c r="I67" s="3">
        <v>4</v>
      </c>
      <c r="J67" s="3">
        <v>29.8</v>
      </c>
      <c r="K67" s="3">
        <v>50</v>
      </c>
      <c r="L67" s="3">
        <v>11920</v>
      </c>
      <c r="M67" s="3">
        <v>9.6000000000000002E-2</v>
      </c>
      <c r="N67" s="3">
        <v>1.14432</v>
      </c>
      <c r="O67" s="3">
        <v>0</v>
      </c>
      <c r="P67" s="3">
        <v>4.71</v>
      </c>
      <c r="Q67" s="3">
        <v>0.46300000000000002</v>
      </c>
      <c r="R67" s="3">
        <v>0</v>
      </c>
      <c r="S67" s="3">
        <v>1.14432</v>
      </c>
      <c r="T67" s="3" t="s">
        <v>886</v>
      </c>
    </row>
    <row r="68" spans="1:20" x14ac:dyDescent="0.25">
      <c r="A68" s="2">
        <v>65</v>
      </c>
      <c r="B68" s="2">
        <v>2023</v>
      </c>
      <c r="C68" s="2" t="s">
        <v>22</v>
      </c>
      <c r="D68" s="2" t="s">
        <v>965</v>
      </c>
      <c r="E68" s="2" t="s">
        <v>883</v>
      </c>
      <c r="F68" s="2" t="s">
        <v>892</v>
      </c>
      <c r="G68" s="2" t="s">
        <v>110</v>
      </c>
      <c r="H68" s="2" t="s">
        <v>885</v>
      </c>
      <c r="I68" s="2">
        <v>3</v>
      </c>
      <c r="J68" s="2">
        <v>19.2</v>
      </c>
      <c r="K68" s="2">
        <v>49</v>
      </c>
      <c r="L68" s="2">
        <v>5644.8</v>
      </c>
      <c r="M68" s="2">
        <v>6.2E-2</v>
      </c>
      <c r="N68" s="2">
        <v>0.34998000000000001</v>
      </c>
      <c r="O68" s="2">
        <v>0</v>
      </c>
      <c r="P68" s="2">
        <v>2.1</v>
      </c>
      <c r="Q68" s="2">
        <v>0.66439999999999999</v>
      </c>
      <c r="R68" s="2">
        <v>0</v>
      </c>
      <c r="S68" s="2">
        <v>0.34998000000000001</v>
      </c>
      <c r="T68" s="2" t="s">
        <v>894</v>
      </c>
    </row>
    <row r="69" spans="1:20" x14ac:dyDescent="0.25">
      <c r="A69" s="3">
        <v>66</v>
      </c>
      <c r="B69" s="3">
        <v>2023</v>
      </c>
      <c r="C69" s="3" t="s">
        <v>32</v>
      </c>
      <c r="D69" s="3" t="s">
        <v>966</v>
      </c>
      <c r="E69" s="3" t="s">
        <v>883</v>
      </c>
      <c r="F69" s="3" t="s">
        <v>900</v>
      </c>
      <c r="G69" s="3" t="s">
        <v>154</v>
      </c>
      <c r="H69" s="3" t="s">
        <v>905</v>
      </c>
      <c r="I69" s="3">
        <v>4</v>
      </c>
      <c r="J69" s="3">
        <v>28.9</v>
      </c>
      <c r="K69" s="3">
        <v>45</v>
      </c>
      <c r="L69" s="3">
        <v>10404</v>
      </c>
      <c r="M69" s="3">
        <v>0.192</v>
      </c>
      <c r="N69" s="3">
        <v>1.9975700000000001</v>
      </c>
      <c r="O69" s="3">
        <v>3</v>
      </c>
      <c r="P69" s="3">
        <v>3.11</v>
      </c>
      <c r="Q69" s="3">
        <v>0.75960000000000005</v>
      </c>
      <c r="R69" s="3">
        <v>0.31891999999999998</v>
      </c>
      <c r="S69" s="3">
        <v>2.3164899999999999</v>
      </c>
      <c r="T69" s="3" t="s">
        <v>894</v>
      </c>
    </row>
    <row r="70" spans="1:20" x14ac:dyDescent="0.25">
      <c r="A70" s="2">
        <v>67</v>
      </c>
      <c r="B70" s="2">
        <v>2023</v>
      </c>
      <c r="C70" s="2" t="s">
        <v>39</v>
      </c>
      <c r="D70" s="2" t="s">
        <v>967</v>
      </c>
      <c r="E70" s="2" t="s">
        <v>909</v>
      </c>
      <c r="F70" s="2" t="s">
        <v>892</v>
      </c>
      <c r="G70" s="2" t="s">
        <v>117</v>
      </c>
      <c r="H70" s="2" t="s">
        <v>901</v>
      </c>
      <c r="I70" s="2">
        <v>4</v>
      </c>
      <c r="J70" s="2">
        <v>53.8</v>
      </c>
      <c r="K70" s="2">
        <v>46</v>
      </c>
      <c r="L70" s="2">
        <v>19798.400000000001</v>
      </c>
      <c r="M70" s="2">
        <v>0.17100000000000001</v>
      </c>
      <c r="N70" s="2">
        <v>3.3855300000000002</v>
      </c>
      <c r="O70" s="2">
        <v>4</v>
      </c>
      <c r="P70" s="2">
        <v>2.2000000000000002</v>
      </c>
      <c r="Q70" s="2">
        <v>0.55020000000000002</v>
      </c>
      <c r="R70" s="2">
        <v>0.22272</v>
      </c>
      <c r="S70" s="2">
        <v>3.60825</v>
      </c>
      <c r="T70" s="2" t="s">
        <v>886</v>
      </c>
    </row>
    <row r="71" spans="1:20" x14ac:dyDescent="0.25">
      <c r="A71" s="3">
        <v>68</v>
      </c>
      <c r="B71" s="3">
        <v>2023</v>
      </c>
      <c r="C71" s="3" t="s">
        <v>46</v>
      </c>
      <c r="D71" s="3" t="s">
        <v>968</v>
      </c>
      <c r="E71" s="3" t="s">
        <v>742</v>
      </c>
      <c r="F71" s="3" t="s">
        <v>900</v>
      </c>
      <c r="G71" s="3" t="s">
        <v>88</v>
      </c>
      <c r="H71" s="3" t="s">
        <v>901</v>
      </c>
      <c r="I71" s="3">
        <v>5</v>
      </c>
      <c r="J71" s="3">
        <v>53.1</v>
      </c>
      <c r="K71" s="3">
        <v>49</v>
      </c>
      <c r="L71" s="3">
        <v>26019</v>
      </c>
      <c r="M71" s="3">
        <v>0.17100000000000001</v>
      </c>
      <c r="N71" s="3">
        <v>4.4492500000000001</v>
      </c>
      <c r="O71" s="3">
        <v>0</v>
      </c>
      <c r="P71" s="3">
        <v>5.09</v>
      </c>
      <c r="Q71" s="3">
        <v>0.77769999999999995</v>
      </c>
      <c r="R71" s="3">
        <v>0</v>
      </c>
      <c r="S71" s="3">
        <v>4.4492500000000001</v>
      </c>
      <c r="T71" s="3" t="s">
        <v>890</v>
      </c>
    </row>
    <row r="72" spans="1:20" ht="24" x14ac:dyDescent="0.25">
      <c r="A72" s="2">
        <v>69</v>
      </c>
      <c r="B72" s="2">
        <v>2023</v>
      </c>
      <c r="C72" s="2" t="s">
        <v>22</v>
      </c>
      <c r="D72" s="2" t="s">
        <v>969</v>
      </c>
      <c r="E72" s="2" t="s">
        <v>909</v>
      </c>
      <c r="F72" s="2" t="s">
        <v>903</v>
      </c>
      <c r="G72" s="2" t="s">
        <v>24</v>
      </c>
      <c r="H72" s="2" t="s">
        <v>907</v>
      </c>
      <c r="I72" s="2">
        <v>4</v>
      </c>
      <c r="J72" s="2">
        <v>37.9</v>
      </c>
      <c r="K72" s="2">
        <v>46</v>
      </c>
      <c r="L72" s="2">
        <v>13947.2</v>
      </c>
      <c r="M72" s="2">
        <v>4.1000000000000002E-2</v>
      </c>
      <c r="N72" s="2">
        <v>0.57184000000000001</v>
      </c>
      <c r="O72" s="2">
        <v>2</v>
      </c>
      <c r="P72" s="2">
        <v>3.05</v>
      </c>
      <c r="Q72" s="2">
        <v>0.61260000000000003</v>
      </c>
      <c r="R72" s="2">
        <v>0.1719</v>
      </c>
      <c r="S72" s="2">
        <v>0.74373999999999996</v>
      </c>
      <c r="T72" s="2" t="s">
        <v>886</v>
      </c>
    </row>
    <row r="73" spans="1:20" ht="24" x14ac:dyDescent="0.25">
      <c r="A73" s="3">
        <v>70</v>
      </c>
      <c r="B73" s="3">
        <v>2023</v>
      </c>
      <c r="C73" s="3" t="s">
        <v>32</v>
      </c>
      <c r="D73" s="3" t="s">
        <v>970</v>
      </c>
      <c r="E73" s="3" t="s">
        <v>793</v>
      </c>
      <c r="F73" s="3" t="s">
        <v>903</v>
      </c>
      <c r="G73" s="3" t="s">
        <v>54</v>
      </c>
      <c r="H73" s="3" t="s">
        <v>907</v>
      </c>
      <c r="I73" s="3">
        <v>2</v>
      </c>
      <c r="J73" s="3">
        <v>33.299999999999997</v>
      </c>
      <c r="K73" s="3">
        <v>49</v>
      </c>
      <c r="L73" s="3">
        <v>6526.8</v>
      </c>
      <c r="M73" s="3">
        <v>4.1000000000000002E-2</v>
      </c>
      <c r="N73" s="3">
        <v>0.2676</v>
      </c>
      <c r="O73" s="3">
        <v>3</v>
      </c>
      <c r="P73" s="3">
        <v>6.42</v>
      </c>
      <c r="Q73" s="3">
        <v>0.7036</v>
      </c>
      <c r="R73" s="3">
        <v>0.66402000000000005</v>
      </c>
      <c r="S73" s="3">
        <v>0.93162</v>
      </c>
      <c r="T73" s="3" t="s">
        <v>890</v>
      </c>
    </row>
    <row r="74" spans="1:20" ht="24" x14ac:dyDescent="0.25">
      <c r="A74" s="2">
        <v>71</v>
      </c>
      <c r="B74" s="2">
        <v>2023</v>
      </c>
      <c r="C74" s="2" t="s">
        <v>39</v>
      </c>
      <c r="D74" s="2" t="s">
        <v>971</v>
      </c>
      <c r="E74" s="2" t="s">
        <v>883</v>
      </c>
      <c r="F74" s="2" t="s">
        <v>892</v>
      </c>
      <c r="G74" s="2" t="s">
        <v>204</v>
      </c>
      <c r="H74" s="2" t="s">
        <v>907</v>
      </c>
      <c r="I74" s="2">
        <v>3</v>
      </c>
      <c r="J74" s="2">
        <v>31.2</v>
      </c>
      <c r="K74" s="2">
        <v>47</v>
      </c>
      <c r="L74" s="2">
        <v>8798.4</v>
      </c>
      <c r="M74" s="2">
        <v>4.1000000000000002E-2</v>
      </c>
      <c r="N74" s="2">
        <v>0.36073</v>
      </c>
      <c r="O74" s="2">
        <v>2</v>
      </c>
      <c r="P74" s="2">
        <v>2.33</v>
      </c>
      <c r="Q74" s="2">
        <v>0.5252</v>
      </c>
      <c r="R74" s="2">
        <v>0.11502999999999999</v>
      </c>
      <c r="S74" s="2">
        <v>0.47576000000000002</v>
      </c>
      <c r="T74" s="2" t="s">
        <v>894</v>
      </c>
    </row>
    <row r="75" spans="1:20" x14ac:dyDescent="0.25">
      <c r="A75" s="3">
        <v>72</v>
      </c>
      <c r="B75" s="3">
        <v>2023</v>
      </c>
      <c r="C75" s="3" t="s">
        <v>46</v>
      </c>
      <c r="D75" s="3" t="s">
        <v>972</v>
      </c>
      <c r="E75" s="3" t="s">
        <v>777</v>
      </c>
      <c r="F75" s="3" t="s">
        <v>903</v>
      </c>
      <c r="G75" s="3" t="s">
        <v>88</v>
      </c>
      <c r="H75" s="3" t="s">
        <v>901</v>
      </c>
      <c r="I75" s="3">
        <v>4</v>
      </c>
      <c r="J75" s="3">
        <v>43.2</v>
      </c>
      <c r="K75" s="3">
        <v>49</v>
      </c>
      <c r="L75" s="3">
        <v>16934.400000000001</v>
      </c>
      <c r="M75" s="3">
        <v>0.17100000000000001</v>
      </c>
      <c r="N75" s="3">
        <v>2.8957799999999998</v>
      </c>
      <c r="O75" s="3">
        <v>4</v>
      </c>
      <c r="P75" s="3">
        <v>7.4</v>
      </c>
      <c r="Q75" s="3">
        <v>0.56240000000000001</v>
      </c>
      <c r="R75" s="3">
        <v>0.81569999999999998</v>
      </c>
      <c r="S75" s="3">
        <v>3.7114799999999999</v>
      </c>
      <c r="T75" s="3" t="s">
        <v>890</v>
      </c>
    </row>
    <row r="76" spans="1:20" x14ac:dyDescent="0.25">
      <c r="A76" s="2">
        <v>73</v>
      </c>
      <c r="B76" s="2">
        <v>2023</v>
      </c>
      <c r="C76" s="2" t="s">
        <v>22</v>
      </c>
      <c r="D76" s="2" t="s">
        <v>973</v>
      </c>
      <c r="E76" s="2" t="s">
        <v>755</v>
      </c>
      <c r="F76" s="2" t="s">
        <v>900</v>
      </c>
      <c r="G76" s="2" t="s">
        <v>110</v>
      </c>
      <c r="H76" s="2" t="s">
        <v>901</v>
      </c>
      <c r="I76" s="2">
        <v>1</v>
      </c>
      <c r="J76" s="2">
        <v>24.7</v>
      </c>
      <c r="K76" s="2">
        <v>45</v>
      </c>
      <c r="L76" s="2">
        <v>2223</v>
      </c>
      <c r="M76" s="2">
        <v>0.17100000000000001</v>
      </c>
      <c r="N76" s="2">
        <v>0.38013000000000002</v>
      </c>
      <c r="O76" s="2">
        <v>2</v>
      </c>
      <c r="P76" s="2">
        <v>7.75</v>
      </c>
      <c r="Q76" s="2">
        <v>0.38619999999999999</v>
      </c>
      <c r="R76" s="2">
        <v>0.26937</v>
      </c>
      <c r="S76" s="2">
        <v>0.64949999999999997</v>
      </c>
      <c r="T76" s="2" t="s">
        <v>894</v>
      </c>
    </row>
    <row r="77" spans="1:20" x14ac:dyDescent="0.25">
      <c r="A77" s="3">
        <v>74</v>
      </c>
      <c r="B77" s="3">
        <v>2023</v>
      </c>
      <c r="C77" s="3" t="s">
        <v>32</v>
      </c>
      <c r="D77" s="3" t="s">
        <v>974</v>
      </c>
      <c r="E77" s="3" t="s">
        <v>909</v>
      </c>
      <c r="F77" s="3" t="s">
        <v>903</v>
      </c>
      <c r="G77" s="3" t="s">
        <v>33</v>
      </c>
      <c r="H77" s="3" t="s">
        <v>885</v>
      </c>
      <c r="I77" s="3">
        <v>4</v>
      </c>
      <c r="J77" s="3">
        <v>10.7</v>
      </c>
      <c r="K77" s="3">
        <v>45</v>
      </c>
      <c r="L77" s="3">
        <v>3852</v>
      </c>
      <c r="M77" s="3">
        <v>6.2E-2</v>
      </c>
      <c r="N77" s="3">
        <v>0.23882</v>
      </c>
      <c r="O77" s="3">
        <v>4</v>
      </c>
      <c r="P77" s="3">
        <v>7.71</v>
      </c>
      <c r="Q77" s="3">
        <v>0.36070000000000002</v>
      </c>
      <c r="R77" s="3">
        <v>0.50058000000000002</v>
      </c>
      <c r="S77" s="3">
        <v>0.73939999999999995</v>
      </c>
      <c r="T77" s="3" t="s">
        <v>890</v>
      </c>
    </row>
    <row r="78" spans="1:20" ht="24" x14ac:dyDescent="0.25">
      <c r="A78" s="2">
        <v>75</v>
      </c>
      <c r="B78" s="2">
        <v>2023</v>
      </c>
      <c r="C78" s="2" t="s">
        <v>39</v>
      </c>
      <c r="D78" s="2" t="s">
        <v>975</v>
      </c>
      <c r="E78" s="2" t="s">
        <v>793</v>
      </c>
      <c r="F78" s="2" t="s">
        <v>892</v>
      </c>
      <c r="G78" s="2" t="s">
        <v>54</v>
      </c>
      <c r="H78" s="2" t="s">
        <v>907</v>
      </c>
      <c r="I78" s="2">
        <v>4</v>
      </c>
      <c r="J78" s="2">
        <v>27.7</v>
      </c>
      <c r="K78" s="2">
        <v>49</v>
      </c>
      <c r="L78" s="2">
        <v>10858.4</v>
      </c>
      <c r="M78" s="2">
        <v>4.1000000000000002E-2</v>
      </c>
      <c r="N78" s="2">
        <v>0.44518999999999997</v>
      </c>
      <c r="O78" s="2">
        <v>0</v>
      </c>
      <c r="P78" s="2">
        <v>3.75</v>
      </c>
      <c r="Q78" s="2">
        <v>0.37959999999999999</v>
      </c>
      <c r="R78" s="2">
        <v>0</v>
      </c>
      <c r="S78" s="2">
        <v>0.44518999999999997</v>
      </c>
      <c r="T78" s="2" t="s">
        <v>894</v>
      </c>
    </row>
    <row r="79" spans="1:20" ht="24" x14ac:dyDescent="0.25">
      <c r="A79" s="3">
        <v>76</v>
      </c>
      <c r="B79" s="3">
        <v>2023</v>
      </c>
      <c r="C79" s="3" t="s">
        <v>46</v>
      </c>
      <c r="D79" s="3" t="s">
        <v>976</v>
      </c>
      <c r="E79" s="3" t="s">
        <v>909</v>
      </c>
      <c r="F79" s="3" t="s">
        <v>884</v>
      </c>
      <c r="G79" s="3" t="s">
        <v>139</v>
      </c>
      <c r="H79" s="3" t="s">
        <v>907</v>
      </c>
      <c r="I79" s="3">
        <v>4</v>
      </c>
      <c r="J79" s="3">
        <v>35.6</v>
      </c>
      <c r="K79" s="3">
        <v>49</v>
      </c>
      <c r="L79" s="3">
        <v>13955.2</v>
      </c>
      <c r="M79" s="3">
        <v>4.1000000000000002E-2</v>
      </c>
      <c r="N79" s="3">
        <v>0.57216</v>
      </c>
      <c r="O79" s="3">
        <v>2</v>
      </c>
      <c r="P79" s="3">
        <v>4.92</v>
      </c>
      <c r="Q79" s="3">
        <v>0.66300000000000003</v>
      </c>
      <c r="R79" s="3">
        <v>0.31967000000000001</v>
      </c>
      <c r="S79" s="3">
        <v>0.89183000000000001</v>
      </c>
      <c r="T79" s="3" t="s">
        <v>890</v>
      </c>
    </row>
    <row r="80" spans="1:20" x14ac:dyDescent="0.25">
      <c r="A80" s="2">
        <v>77</v>
      </c>
      <c r="B80" s="2">
        <v>2023</v>
      </c>
      <c r="C80" s="2" t="s">
        <v>22</v>
      </c>
      <c r="D80" s="2" t="s">
        <v>977</v>
      </c>
      <c r="E80" s="2" t="s">
        <v>788</v>
      </c>
      <c r="F80" s="2" t="s">
        <v>888</v>
      </c>
      <c r="G80" s="2" t="s">
        <v>204</v>
      </c>
      <c r="H80" s="2" t="s">
        <v>914</v>
      </c>
      <c r="I80" s="2">
        <v>5</v>
      </c>
      <c r="J80" s="2">
        <v>9.6999999999999993</v>
      </c>
      <c r="K80" s="2">
        <v>50</v>
      </c>
      <c r="L80" s="2">
        <v>4850</v>
      </c>
      <c r="M80" s="2">
        <v>8.8999999999999996E-2</v>
      </c>
      <c r="N80" s="2">
        <v>0.43164999999999998</v>
      </c>
      <c r="O80" s="2">
        <v>2</v>
      </c>
      <c r="P80" s="2">
        <v>3.03</v>
      </c>
      <c r="Q80" s="2">
        <v>0.47220000000000001</v>
      </c>
      <c r="R80" s="2">
        <v>0.14308000000000001</v>
      </c>
      <c r="S80" s="2">
        <v>0.57472999999999996</v>
      </c>
      <c r="T80" s="2" t="s">
        <v>886</v>
      </c>
    </row>
    <row r="81" spans="1:20" x14ac:dyDescent="0.25">
      <c r="A81" s="3">
        <v>78</v>
      </c>
      <c r="B81" s="3">
        <v>2023</v>
      </c>
      <c r="C81" s="3" t="s">
        <v>32</v>
      </c>
      <c r="D81" s="3" t="s">
        <v>978</v>
      </c>
      <c r="E81" s="3" t="s">
        <v>725</v>
      </c>
      <c r="F81" s="3" t="s">
        <v>903</v>
      </c>
      <c r="G81" s="3" t="s">
        <v>117</v>
      </c>
      <c r="H81" s="3" t="s">
        <v>885</v>
      </c>
      <c r="I81" s="3">
        <v>3</v>
      </c>
      <c r="J81" s="3">
        <v>18.5</v>
      </c>
      <c r="K81" s="3">
        <v>45</v>
      </c>
      <c r="L81" s="3">
        <v>4995</v>
      </c>
      <c r="M81" s="3">
        <v>6.2E-2</v>
      </c>
      <c r="N81" s="3">
        <v>0.30969000000000002</v>
      </c>
      <c r="O81" s="3">
        <v>4</v>
      </c>
      <c r="P81" s="3">
        <v>7.54</v>
      </c>
      <c r="Q81" s="3">
        <v>0.68459999999999999</v>
      </c>
      <c r="R81" s="3">
        <v>0.92913999999999997</v>
      </c>
      <c r="S81" s="3">
        <v>1.2388300000000001</v>
      </c>
      <c r="T81" s="3" t="s">
        <v>894</v>
      </c>
    </row>
    <row r="82" spans="1:20" x14ac:dyDescent="0.25">
      <c r="A82" s="2">
        <v>79</v>
      </c>
      <c r="B82" s="2">
        <v>2023</v>
      </c>
      <c r="C82" s="2" t="s">
        <v>39</v>
      </c>
      <c r="D82" s="2" t="s">
        <v>979</v>
      </c>
      <c r="E82" s="2" t="s">
        <v>725</v>
      </c>
      <c r="F82" s="2" t="s">
        <v>903</v>
      </c>
      <c r="G82" s="2" t="s">
        <v>88</v>
      </c>
      <c r="H82" s="2" t="s">
        <v>885</v>
      </c>
      <c r="I82" s="2">
        <v>2</v>
      </c>
      <c r="J82" s="2">
        <v>15.8</v>
      </c>
      <c r="K82" s="2">
        <v>44</v>
      </c>
      <c r="L82" s="2">
        <v>2780.8</v>
      </c>
      <c r="M82" s="2">
        <v>6.2E-2</v>
      </c>
      <c r="N82" s="2">
        <v>0.17241000000000001</v>
      </c>
      <c r="O82" s="2">
        <v>2</v>
      </c>
      <c r="P82" s="2">
        <v>5.45</v>
      </c>
      <c r="Q82" s="2">
        <v>0.55720000000000003</v>
      </c>
      <c r="R82" s="2">
        <v>0.26723000000000002</v>
      </c>
      <c r="S82" s="2">
        <v>0.43963999999999998</v>
      </c>
      <c r="T82" s="2" t="s">
        <v>894</v>
      </c>
    </row>
    <row r="83" spans="1:20" x14ac:dyDescent="0.25">
      <c r="A83" s="3">
        <v>80</v>
      </c>
      <c r="B83" s="3">
        <v>2023</v>
      </c>
      <c r="C83" s="3" t="s">
        <v>46</v>
      </c>
      <c r="D83" s="3" t="s">
        <v>980</v>
      </c>
      <c r="E83" s="3" t="s">
        <v>755</v>
      </c>
      <c r="F83" s="3" t="s">
        <v>900</v>
      </c>
      <c r="G83" s="3" t="s">
        <v>139</v>
      </c>
      <c r="H83" s="3" t="s">
        <v>905</v>
      </c>
      <c r="I83" s="3">
        <v>3</v>
      </c>
      <c r="J83" s="3">
        <v>58.7</v>
      </c>
      <c r="K83" s="3">
        <v>45</v>
      </c>
      <c r="L83" s="3">
        <v>15849</v>
      </c>
      <c r="M83" s="3">
        <v>0.192</v>
      </c>
      <c r="N83" s="3">
        <v>3.0430100000000002</v>
      </c>
      <c r="O83" s="3">
        <v>2</v>
      </c>
      <c r="P83" s="3">
        <v>4.6900000000000004</v>
      </c>
      <c r="Q83" s="3">
        <v>0.8085</v>
      </c>
      <c r="R83" s="3">
        <v>0.34127000000000002</v>
      </c>
      <c r="S83" s="3">
        <v>3.38428</v>
      </c>
      <c r="T83" s="3" t="s">
        <v>886</v>
      </c>
    </row>
    <row r="84" spans="1:20" x14ac:dyDescent="0.25">
      <c r="A84" s="2">
        <v>81</v>
      </c>
      <c r="B84" s="2">
        <v>2023</v>
      </c>
      <c r="C84" s="2" t="s">
        <v>22</v>
      </c>
      <c r="D84" s="2" t="s">
        <v>981</v>
      </c>
      <c r="E84" s="2" t="s">
        <v>909</v>
      </c>
      <c r="F84" s="2" t="s">
        <v>888</v>
      </c>
      <c r="G84" s="2" t="s">
        <v>139</v>
      </c>
      <c r="H84" s="2" t="s">
        <v>897</v>
      </c>
      <c r="I84" s="2">
        <v>4</v>
      </c>
      <c r="J84" s="2">
        <v>46.6</v>
      </c>
      <c r="K84" s="2">
        <v>47</v>
      </c>
      <c r="L84" s="2">
        <v>17521.599999999999</v>
      </c>
      <c r="M84" s="2">
        <v>0</v>
      </c>
      <c r="N84" s="2">
        <v>0</v>
      </c>
      <c r="O84" s="2">
        <v>2</v>
      </c>
      <c r="P84" s="2">
        <v>2.94</v>
      </c>
      <c r="Q84" s="2">
        <v>0.80600000000000005</v>
      </c>
      <c r="R84" s="2">
        <v>0.22275</v>
      </c>
      <c r="S84" s="2">
        <v>0.22275</v>
      </c>
      <c r="T84" s="2" t="s">
        <v>894</v>
      </c>
    </row>
    <row r="85" spans="1:20" x14ac:dyDescent="0.25">
      <c r="A85" s="3">
        <v>82</v>
      </c>
      <c r="B85" s="3">
        <v>2023</v>
      </c>
      <c r="C85" s="3" t="s">
        <v>32</v>
      </c>
      <c r="D85" s="3" t="s">
        <v>982</v>
      </c>
      <c r="E85" s="3" t="s">
        <v>883</v>
      </c>
      <c r="F85" s="3" t="s">
        <v>888</v>
      </c>
      <c r="G85" s="3" t="s">
        <v>96</v>
      </c>
      <c r="H85" s="3" t="s">
        <v>914</v>
      </c>
      <c r="I85" s="3">
        <v>4</v>
      </c>
      <c r="J85" s="3">
        <v>54</v>
      </c>
      <c r="K85" s="3">
        <v>50</v>
      </c>
      <c r="L85" s="3">
        <v>21600</v>
      </c>
      <c r="M85" s="3">
        <v>8.8999999999999996E-2</v>
      </c>
      <c r="N85" s="3">
        <v>1.9224000000000001</v>
      </c>
      <c r="O85" s="3">
        <v>4</v>
      </c>
      <c r="P85" s="3">
        <v>6</v>
      </c>
      <c r="Q85" s="3">
        <v>0.7258</v>
      </c>
      <c r="R85" s="3">
        <v>0.87095999999999996</v>
      </c>
      <c r="S85" s="3">
        <v>2.7933599999999998</v>
      </c>
      <c r="T85" s="3" t="s">
        <v>894</v>
      </c>
    </row>
    <row r="86" spans="1:20" x14ac:dyDescent="0.25">
      <c r="A86" s="2">
        <v>83</v>
      </c>
      <c r="B86" s="2">
        <v>2023</v>
      </c>
      <c r="C86" s="2" t="s">
        <v>39</v>
      </c>
      <c r="D86" s="2" t="s">
        <v>983</v>
      </c>
      <c r="E86" s="2" t="s">
        <v>793</v>
      </c>
      <c r="F86" s="2" t="s">
        <v>884</v>
      </c>
      <c r="G86" s="2" t="s">
        <v>58</v>
      </c>
      <c r="H86" s="2" t="s">
        <v>901</v>
      </c>
      <c r="I86" s="2">
        <v>4</v>
      </c>
      <c r="J86" s="2">
        <v>54.2</v>
      </c>
      <c r="K86" s="2">
        <v>45</v>
      </c>
      <c r="L86" s="2">
        <v>19512</v>
      </c>
      <c r="M86" s="2">
        <v>0.17100000000000001</v>
      </c>
      <c r="N86" s="2">
        <v>3.3365499999999999</v>
      </c>
      <c r="O86" s="2">
        <v>4</v>
      </c>
      <c r="P86" s="2">
        <v>2.7</v>
      </c>
      <c r="Q86" s="2">
        <v>0.36170000000000002</v>
      </c>
      <c r="R86" s="2">
        <v>0.17579</v>
      </c>
      <c r="S86" s="2">
        <v>3.51234</v>
      </c>
      <c r="T86" s="2" t="s">
        <v>890</v>
      </c>
    </row>
    <row r="87" spans="1:20" x14ac:dyDescent="0.25">
      <c r="A87" s="3">
        <v>84</v>
      </c>
      <c r="B87" s="3">
        <v>2023</v>
      </c>
      <c r="C87" s="3" t="s">
        <v>46</v>
      </c>
      <c r="D87" s="3" t="s">
        <v>984</v>
      </c>
      <c r="E87" s="3" t="s">
        <v>755</v>
      </c>
      <c r="F87" s="3" t="s">
        <v>903</v>
      </c>
      <c r="G87" s="3" t="s">
        <v>70</v>
      </c>
      <c r="H87" s="3" t="s">
        <v>901</v>
      </c>
      <c r="I87" s="3">
        <v>3</v>
      </c>
      <c r="J87" s="3">
        <v>5.2</v>
      </c>
      <c r="K87" s="3">
        <v>49</v>
      </c>
      <c r="L87" s="3">
        <v>1528.8</v>
      </c>
      <c r="M87" s="3">
        <v>0.17100000000000001</v>
      </c>
      <c r="N87" s="3">
        <v>0.26141999999999999</v>
      </c>
      <c r="O87" s="3">
        <v>1</v>
      </c>
      <c r="P87" s="3">
        <v>5.5</v>
      </c>
      <c r="Q87" s="3">
        <v>0.45440000000000003</v>
      </c>
      <c r="R87" s="3">
        <v>0.12246</v>
      </c>
      <c r="S87" s="3">
        <v>0.38388</v>
      </c>
      <c r="T87" s="3" t="s">
        <v>886</v>
      </c>
    </row>
    <row r="88" spans="1:20" x14ac:dyDescent="0.25">
      <c r="A88" s="2">
        <v>85</v>
      </c>
      <c r="B88" s="2">
        <v>2023</v>
      </c>
      <c r="C88" s="2" t="s">
        <v>22</v>
      </c>
      <c r="D88" s="2" t="s">
        <v>985</v>
      </c>
      <c r="E88" s="2" t="s">
        <v>788</v>
      </c>
      <c r="F88" s="2" t="s">
        <v>892</v>
      </c>
      <c r="G88" s="2" t="s">
        <v>204</v>
      </c>
      <c r="H88" s="2" t="s">
        <v>901</v>
      </c>
      <c r="I88" s="2">
        <v>5</v>
      </c>
      <c r="J88" s="2">
        <v>51.3</v>
      </c>
      <c r="K88" s="2">
        <v>49</v>
      </c>
      <c r="L88" s="2">
        <v>25137</v>
      </c>
      <c r="M88" s="2">
        <v>0.17100000000000001</v>
      </c>
      <c r="N88" s="2">
        <v>4.2984299999999998</v>
      </c>
      <c r="O88" s="2">
        <v>0</v>
      </c>
      <c r="P88" s="2">
        <v>7.86</v>
      </c>
      <c r="Q88" s="2">
        <v>0.53539999999999999</v>
      </c>
      <c r="R88" s="2">
        <v>0</v>
      </c>
      <c r="S88" s="2">
        <v>4.2984299999999998</v>
      </c>
      <c r="T88" s="2" t="s">
        <v>894</v>
      </c>
    </row>
    <row r="89" spans="1:20" x14ac:dyDescent="0.25">
      <c r="A89" s="3">
        <v>86</v>
      </c>
      <c r="B89" s="3">
        <v>2023</v>
      </c>
      <c r="C89" s="3" t="s">
        <v>32</v>
      </c>
      <c r="D89" s="3" t="s">
        <v>986</v>
      </c>
      <c r="E89" s="3" t="s">
        <v>749</v>
      </c>
      <c r="F89" s="3" t="s">
        <v>888</v>
      </c>
      <c r="G89" s="3" t="s">
        <v>88</v>
      </c>
      <c r="H89" s="3" t="s">
        <v>911</v>
      </c>
      <c r="I89" s="3">
        <v>1</v>
      </c>
      <c r="J89" s="3">
        <v>54.7</v>
      </c>
      <c r="K89" s="3">
        <v>46</v>
      </c>
      <c r="L89" s="3">
        <v>5032.3999999999996</v>
      </c>
      <c r="M89" s="3">
        <v>9.6000000000000002E-2</v>
      </c>
      <c r="N89" s="3">
        <v>0.48310999999999998</v>
      </c>
      <c r="O89" s="3">
        <v>3</v>
      </c>
      <c r="P89" s="3">
        <v>2.89</v>
      </c>
      <c r="Q89" s="3">
        <v>0.75129999999999997</v>
      </c>
      <c r="R89" s="3">
        <v>0.29963000000000001</v>
      </c>
      <c r="S89" s="3">
        <v>0.78273999999999999</v>
      </c>
      <c r="T89" s="3" t="s">
        <v>886</v>
      </c>
    </row>
    <row r="90" spans="1:20" x14ac:dyDescent="0.25">
      <c r="A90" s="2">
        <v>87</v>
      </c>
      <c r="B90" s="2">
        <v>2023</v>
      </c>
      <c r="C90" s="2" t="s">
        <v>39</v>
      </c>
      <c r="D90" s="2" t="s">
        <v>987</v>
      </c>
      <c r="E90" s="2" t="s">
        <v>749</v>
      </c>
      <c r="F90" s="2" t="s">
        <v>884</v>
      </c>
      <c r="G90" s="2" t="s">
        <v>204</v>
      </c>
      <c r="H90" s="2" t="s">
        <v>914</v>
      </c>
      <c r="I90" s="2">
        <v>3</v>
      </c>
      <c r="J90" s="2">
        <v>22.4</v>
      </c>
      <c r="K90" s="2">
        <v>47</v>
      </c>
      <c r="L90" s="2">
        <v>6316.8</v>
      </c>
      <c r="M90" s="2">
        <v>8.8999999999999996E-2</v>
      </c>
      <c r="N90" s="2">
        <v>0.56220000000000003</v>
      </c>
      <c r="O90" s="2">
        <v>4</v>
      </c>
      <c r="P90" s="2">
        <v>2.5299999999999998</v>
      </c>
      <c r="Q90" s="2">
        <v>0.69210000000000005</v>
      </c>
      <c r="R90" s="2">
        <v>0.32918999999999998</v>
      </c>
      <c r="S90" s="2">
        <v>0.89139000000000002</v>
      </c>
      <c r="T90" s="2" t="s">
        <v>890</v>
      </c>
    </row>
    <row r="91" spans="1:20" x14ac:dyDescent="0.25">
      <c r="A91" s="3">
        <v>88</v>
      </c>
      <c r="B91" s="3">
        <v>2023</v>
      </c>
      <c r="C91" s="3" t="s">
        <v>46</v>
      </c>
      <c r="D91" s="3" t="s">
        <v>988</v>
      </c>
      <c r="E91" s="3" t="s">
        <v>793</v>
      </c>
      <c r="F91" s="3" t="s">
        <v>888</v>
      </c>
      <c r="G91" s="3" t="s">
        <v>110</v>
      </c>
      <c r="H91" s="3" t="s">
        <v>885</v>
      </c>
      <c r="I91" s="3">
        <v>4</v>
      </c>
      <c r="J91" s="3">
        <v>44.3</v>
      </c>
      <c r="K91" s="3">
        <v>47</v>
      </c>
      <c r="L91" s="3">
        <v>16656.8</v>
      </c>
      <c r="M91" s="3">
        <v>6.2E-2</v>
      </c>
      <c r="N91" s="3">
        <v>1.0327200000000001</v>
      </c>
      <c r="O91" s="3">
        <v>1</v>
      </c>
      <c r="P91" s="3">
        <v>7.01</v>
      </c>
      <c r="Q91" s="3">
        <v>0.63100000000000001</v>
      </c>
      <c r="R91" s="3">
        <v>0.2079</v>
      </c>
      <c r="S91" s="3">
        <v>1.2406200000000001</v>
      </c>
      <c r="T91" s="3" t="s">
        <v>890</v>
      </c>
    </row>
    <row r="92" spans="1:20" x14ac:dyDescent="0.25">
      <c r="A92" s="2">
        <v>89</v>
      </c>
      <c r="B92" s="2">
        <v>2023</v>
      </c>
      <c r="C92" s="2" t="s">
        <v>22</v>
      </c>
      <c r="D92" s="2" t="s">
        <v>989</v>
      </c>
      <c r="E92" s="2" t="s">
        <v>755</v>
      </c>
      <c r="F92" s="2" t="s">
        <v>884</v>
      </c>
      <c r="G92" s="2" t="s">
        <v>70</v>
      </c>
      <c r="H92" s="2" t="s">
        <v>911</v>
      </c>
      <c r="I92" s="2">
        <v>3</v>
      </c>
      <c r="J92" s="2">
        <v>5.8</v>
      </c>
      <c r="K92" s="2">
        <v>48</v>
      </c>
      <c r="L92" s="2">
        <v>1670.4</v>
      </c>
      <c r="M92" s="2">
        <v>9.6000000000000002E-2</v>
      </c>
      <c r="N92" s="2">
        <v>0.16036</v>
      </c>
      <c r="O92" s="2">
        <v>3</v>
      </c>
      <c r="P92" s="2">
        <v>2.5299999999999998</v>
      </c>
      <c r="Q92" s="2">
        <v>0.54239999999999999</v>
      </c>
      <c r="R92" s="2">
        <v>0.19761000000000001</v>
      </c>
      <c r="S92" s="2">
        <v>0.35797000000000001</v>
      </c>
      <c r="T92" s="2" t="s">
        <v>886</v>
      </c>
    </row>
    <row r="93" spans="1:20" x14ac:dyDescent="0.25">
      <c r="A93" s="3">
        <v>90</v>
      </c>
      <c r="B93" s="3">
        <v>2023</v>
      </c>
      <c r="C93" s="3" t="s">
        <v>32</v>
      </c>
      <c r="D93" s="3" t="s">
        <v>990</v>
      </c>
      <c r="E93" s="3" t="s">
        <v>909</v>
      </c>
      <c r="F93" s="3" t="s">
        <v>884</v>
      </c>
      <c r="G93" s="3" t="s">
        <v>117</v>
      </c>
      <c r="H93" s="3" t="s">
        <v>911</v>
      </c>
      <c r="I93" s="3">
        <v>4</v>
      </c>
      <c r="J93" s="3">
        <v>43.2</v>
      </c>
      <c r="K93" s="3">
        <v>50</v>
      </c>
      <c r="L93" s="3">
        <v>17280</v>
      </c>
      <c r="M93" s="3">
        <v>9.6000000000000002E-2</v>
      </c>
      <c r="N93" s="3">
        <v>1.6588799999999999</v>
      </c>
      <c r="O93" s="3">
        <v>1</v>
      </c>
      <c r="P93" s="3">
        <v>3.2</v>
      </c>
      <c r="Q93" s="3">
        <v>0.74119999999999997</v>
      </c>
      <c r="R93" s="3">
        <v>0.11859</v>
      </c>
      <c r="S93" s="3">
        <v>1.7774700000000001</v>
      </c>
      <c r="T93" s="3" t="s">
        <v>886</v>
      </c>
    </row>
    <row r="94" spans="1:20" x14ac:dyDescent="0.25">
      <c r="A94" s="2">
        <v>91</v>
      </c>
      <c r="B94" s="2">
        <v>2023</v>
      </c>
      <c r="C94" s="2" t="s">
        <v>39</v>
      </c>
      <c r="D94" s="2" t="s">
        <v>991</v>
      </c>
      <c r="E94" s="2" t="s">
        <v>755</v>
      </c>
      <c r="F94" s="2" t="s">
        <v>888</v>
      </c>
      <c r="G94" s="2" t="s">
        <v>110</v>
      </c>
      <c r="H94" s="2" t="s">
        <v>914</v>
      </c>
      <c r="I94" s="2">
        <v>5</v>
      </c>
      <c r="J94" s="2">
        <v>19.600000000000001</v>
      </c>
      <c r="K94" s="2">
        <v>48</v>
      </c>
      <c r="L94" s="2">
        <v>9408</v>
      </c>
      <c r="M94" s="2">
        <v>8.8999999999999996E-2</v>
      </c>
      <c r="N94" s="2">
        <v>0.83731</v>
      </c>
      <c r="O94" s="2">
        <v>3</v>
      </c>
      <c r="P94" s="2">
        <v>3.35</v>
      </c>
      <c r="Q94" s="2">
        <v>0.72189999999999999</v>
      </c>
      <c r="R94" s="2">
        <v>0.34823999999999999</v>
      </c>
      <c r="S94" s="2">
        <v>1.1855500000000001</v>
      </c>
      <c r="T94" s="2" t="s">
        <v>894</v>
      </c>
    </row>
    <row r="95" spans="1:20" x14ac:dyDescent="0.25">
      <c r="A95" s="3">
        <v>92</v>
      </c>
      <c r="B95" s="3">
        <v>2023</v>
      </c>
      <c r="C95" s="3" t="s">
        <v>46</v>
      </c>
      <c r="D95" s="3" t="s">
        <v>992</v>
      </c>
      <c r="E95" s="3" t="s">
        <v>793</v>
      </c>
      <c r="F95" s="3" t="s">
        <v>900</v>
      </c>
      <c r="G95" s="3" t="s">
        <v>154</v>
      </c>
      <c r="H95" s="3" t="s">
        <v>893</v>
      </c>
      <c r="I95" s="3">
        <v>1</v>
      </c>
      <c r="J95" s="3">
        <v>39.9</v>
      </c>
      <c r="K95" s="3">
        <v>46</v>
      </c>
      <c r="L95" s="3">
        <v>3670.8</v>
      </c>
      <c r="M95" s="3">
        <v>0</v>
      </c>
      <c r="N95" s="3">
        <v>0</v>
      </c>
      <c r="O95" s="3">
        <v>3</v>
      </c>
      <c r="P95" s="3">
        <v>3.08</v>
      </c>
      <c r="Q95" s="3">
        <v>0.7762</v>
      </c>
      <c r="R95" s="3">
        <v>0.32991999999999999</v>
      </c>
      <c r="S95" s="3">
        <v>0.32991999999999999</v>
      </c>
      <c r="T95" s="3" t="s">
        <v>886</v>
      </c>
    </row>
    <row r="96" spans="1:20" x14ac:dyDescent="0.25">
      <c r="A96" s="2">
        <v>93</v>
      </c>
      <c r="B96" s="2">
        <v>2023</v>
      </c>
      <c r="C96" s="2" t="s">
        <v>22</v>
      </c>
      <c r="D96" s="2" t="s">
        <v>993</v>
      </c>
      <c r="E96" s="2" t="s">
        <v>749</v>
      </c>
      <c r="F96" s="2" t="s">
        <v>888</v>
      </c>
      <c r="G96" s="2" t="s">
        <v>58</v>
      </c>
      <c r="H96" s="2" t="s">
        <v>914</v>
      </c>
      <c r="I96" s="2">
        <v>4</v>
      </c>
      <c r="J96" s="2">
        <v>59.7</v>
      </c>
      <c r="K96" s="2">
        <v>44</v>
      </c>
      <c r="L96" s="2">
        <v>21014.400000000001</v>
      </c>
      <c r="M96" s="2">
        <v>8.8999999999999996E-2</v>
      </c>
      <c r="N96" s="2">
        <v>1.8702799999999999</v>
      </c>
      <c r="O96" s="2">
        <v>4</v>
      </c>
      <c r="P96" s="2">
        <v>6.47</v>
      </c>
      <c r="Q96" s="2">
        <v>0.62309999999999999</v>
      </c>
      <c r="R96" s="2">
        <v>0.70953999999999995</v>
      </c>
      <c r="S96" s="2">
        <v>2.5798199999999998</v>
      </c>
      <c r="T96" s="2" t="s">
        <v>894</v>
      </c>
    </row>
    <row r="97" spans="1:20" x14ac:dyDescent="0.25">
      <c r="A97" s="3">
        <v>94</v>
      </c>
      <c r="B97" s="3">
        <v>2023</v>
      </c>
      <c r="C97" s="3" t="s">
        <v>32</v>
      </c>
      <c r="D97" s="3" t="s">
        <v>994</v>
      </c>
      <c r="E97" s="3" t="s">
        <v>742</v>
      </c>
      <c r="F97" s="3" t="s">
        <v>903</v>
      </c>
      <c r="G97" s="3" t="s">
        <v>58</v>
      </c>
      <c r="H97" s="3" t="s">
        <v>893</v>
      </c>
      <c r="I97" s="3">
        <v>1</v>
      </c>
      <c r="J97" s="3">
        <v>23.6</v>
      </c>
      <c r="K97" s="3">
        <v>49</v>
      </c>
      <c r="L97" s="3">
        <v>2312.8000000000002</v>
      </c>
      <c r="M97" s="3">
        <v>0</v>
      </c>
      <c r="N97" s="3">
        <v>0</v>
      </c>
      <c r="O97" s="3">
        <v>4</v>
      </c>
      <c r="P97" s="3">
        <v>2.11</v>
      </c>
      <c r="Q97" s="3">
        <v>0.47199999999999998</v>
      </c>
      <c r="R97" s="3">
        <v>0.19520000000000001</v>
      </c>
      <c r="S97" s="3">
        <v>0.19520000000000001</v>
      </c>
      <c r="T97" s="3" t="s">
        <v>890</v>
      </c>
    </row>
    <row r="98" spans="1:20" x14ac:dyDescent="0.25">
      <c r="A98" s="2">
        <v>95</v>
      </c>
      <c r="B98" s="2">
        <v>2023</v>
      </c>
      <c r="C98" s="2" t="s">
        <v>39</v>
      </c>
      <c r="D98" s="2" t="s">
        <v>995</v>
      </c>
      <c r="E98" s="2" t="s">
        <v>742</v>
      </c>
      <c r="F98" s="2" t="s">
        <v>888</v>
      </c>
      <c r="G98" s="2" t="s">
        <v>88</v>
      </c>
      <c r="H98" s="2" t="s">
        <v>893</v>
      </c>
      <c r="I98" s="2">
        <v>2</v>
      </c>
      <c r="J98" s="2">
        <v>22.7</v>
      </c>
      <c r="K98" s="2">
        <v>44</v>
      </c>
      <c r="L98" s="2">
        <v>3995.2</v>
      </c>
      <c r="M98" s="2">
        <v>0</v>
      </c>
      <c r="N98" s="2">
        <v>0</v>
      </c>
      <c r="O98" s="2">
        <v>2</v>
      </c>
      <c r="P98" s="2">
        <v>4.17</v>
      </c>
      <c r="Q98" s="2">
        <v>0.64900000000000002</v>
      </c>
      <c r="R98" s="2">
        <v>0.23816000000000001</v>
      </c>
      <c r="S98" s="2">
        <v>0.23816000000000001</v>
      </c>
      <c r="T98" s="2" t="s">
        <v>890</v>
      </c>
    </row>
    <row r="99" spans="1:20" x14ac:dyDescent="0.25">
      <c r="A99" s="3">
        <v>96</v>
      </c>
      <c r="B99" s="3">
        <v>2023</v>
      </c>
      <c r="C99" s="3" t="s">
        <v>46</v>
      </c>
      <c r="D99" s="3" t="s">
        <v>996</v>
      </c>
      <c r="E99" s="3" t="s">
        <v>909</v>
      </c>
      <c r="F99" s="3" t="s">
        <v>888</v>
      </c>
      <c r="G99" s="3" t="s">
        <v>110</v>
      </c>
      <c r="H99" s="3" t="s">
        <v>911</v>
      </c>
      <c r="I99" s="3">
        <v>1</v>
      </c>
      <c r="J99" s="3">
        <v>31.8</v>
      </c>
      <c r="K99" s="3">
        <v>50</v>
      </c>
      <c r="L99" s="3">
        <v>3180</v>
      </c>
      <c r="M99" s="3">
        <v>9.6000000000000002E-2</v>
      </c>
      <c r="N99" s="3">
        <v>0.30528</v>
      </c>
      <c r="O99" s="3">
        <v>1</v>
      </c>
      <c r="P99" s="3">
        <v>6.59</v>
      </c>
      <c r="Q99" s="3">
        <v>0.63139999999999996</v>
      </c>
      <c r="R99" s="3">
        <v>0.20805000000000001</v>
      </c>
      <c r="S99" s="3">
        <v>0.51332999999999995</v>
      </c>
      <c r="T99" s="3" t="s">
        <v>890</v>
      </c>
    </row>
    <row r="100" spans="1:20" x14ac:dyDescent="0.25">
      <c r="A100" s="2">
        <v>97</v>
      </c>
      <c r="B100" s="2">
        <v>2023</v>
      </c>
      <c r="C100" s="2" t="s">
        <v>22</v>
      </c>
      <c r="D100" s="2" t="s">
        <v>997</v>
      </c>
      <c r="E100" s="2" t="s">
        <v>725</v>
      </c>
      <c r="F100" s="2" t="s">
        <v>900</v>
      </c>
      <c r="G100" s="2" t="s">
        <v>54</v>
      </c>
      <c r="H100" s="2" t="s">
        <v>914</v>
      </c>
      <c r="I100" s="2">
        <v>3</v>
      </c>
      <c r="J100" s="2">
        <v>41.8</v>
      </c>
      <c r="K100" s="2">
        <v>49</v>
      </c>
      <c r="L100" s="2">
        <v>12289.2</v>
      </c>
      <c r="M100" s="2">
        <v>8.8999999999999996E-2</v>
      </c>
      <c r="N100" s="2">
        <v>1.0937399999999999</v>
      </c>
      <c r="O100" s="2">
        <v>2</v>
      </c>
      <c r="P100" s="2">
        <v>2.58</v>
      </c>
      <c r="Q100" s="2">
        <v>0.62260000000000004</v>
      </c>
      <c r="R100" s="2">
        <v>0.15742</v>
      </c>
      <c r="S100" s="2">
        <v>1.25116</v>
      </c>
      <c r="T100" s="2" t="s">
        <v>886</v>
      </c>
    </row>
    <row r="101" spans="1:20" x14ac:dyDescent="0.25">
      <c r="A101" s="3">
        <v>98</v>
      </c>
      <c r="B101" s="3">
        <v>2023</v>
      </c>
      <c r="C101" s="3" t="s">
        <v>32</v>
      </c>
      <c r="D101" s="3" t="s">
        <v>998</v>
      </c>
      <c r="E101" s="3" t="s">
        <v>793</v>
      </c>
      <c r="F101" s="3" t="s">
        <v>903</v>
      </c>
      <c r="G101" s="3" t="s">
        <v>24</v>
      </c>
      <c r="H101" s="3" t="s">
        <v>911</v>
      </c>
      <c r="I101" s="3">
        <v>3</v>
      </c>
      <c r="J101" s="3">
        <v>23.6</v>
      </c>
      <c r="K101" s="3">
        <v>47</v>
      </c>
      <c r="L101" s="3">
        <v>6655.2</v>
      </c>
      <c r="M101" s="3">
        <v>9.6000000000000002E-2</v>
      </c>
      <c r="N101" s="3">
        <v>0.63890000000000002</v>
      </c>
      <c r="O101" s="3">
        <v>3</v>
      </c>
      <c r="P101" s="3">
        <v>4.04</v>
      </c>
      <c r="Q101" s="3">
        <v>0.77810000000000001</v>
      </c>
      <c r="R101" s="3">
        <v>0.44324000000000002</v>
      </c>
      <c r="S101" s="3">
        <v>1.0821400000000001</v>
      </c>
      <c r="T101" s="3" t="s">
        <v>894</v>
      </c>
    </row>
    <row r="102" spans="1:20" x14ac:dyDescent="0.25">
      <c r="A102" s="2">
        <v>99</v>
      </c>
      <c r="B102" s="2">
        <v>2023</v>
      </c>
      <c r="C102" s="2" t="s">
        <v>39</v>
      </c>
      <c r="D102" s="2" t="s">
        <v>999</v>
      </c>
      <c r="E102" s="2" t="s">
        <v>909</v>
      </c>
      <c r="F102" s="2" t="s">
        <v>892</v>
      </c>
      <c r="G102" s="2" t="s">
        <v>54</v>
      </c>
      <c r="H102" s="2" t="s">
        <v>889</v>
      </c>
      <c r="I102" s="2">
        <v>2</v>
      </c>
      <c r="J102" s="2">
        <v>48.1</v>
      </c>
      <c r="K102" s="2">
        <v>48</v>
      </c>
      <c r="L102" s="2">
        <v>9235.2000000000007</v>
      </c>
      <c r="M102" s="2">
        <v>0.113</v>
      </c>
      <c r="N102" s="2">
        <v>1.04358</v>
      </c>
      <c r="O102" s="2">
        <v>4</v>
      </c>
      <c r="P102" s="2">
        <v>6.14</v>
      </c>
      <c r="Q102" s="2">
        <v>0.79769999999999996</v>
      </c>
      <c r="R102" s="2">
        <v>0.94038999999999995</v>
      </c>
      <c r="S102" s="2">
        <v>1.98397</v>
      </c>
      <c r="T102" s="2" t="s">
        <v>894</v>
      </c>
    </row>
    <row r="103" spans="1:20" x14ac:dyDescent="0.25">
      <c r="A103" s="3">
        <v>100</v>
      </c>
      <c r="B103" s="3">
        <v>2023</v>
      </c>
      <c r="C103" s="3" t="s">
        <v>46</v>
      </c>
      <c r="D103" s="3" t="s">
        <v>1000</v>
      </c>
      <c r="E103" s="3" t="s">
        <v>788</v>
      </c>
      <c r="F103" s="3" t="s">
        <v>888</v>
      </c>
      <c r="G103" s="3" t="s">
        <v>204</v>
      </c>
      <c r="H103" s="3" t="s">
        <v>901</v>
      </c>
      <c r="I103" s="3">
        <v>4</v>
      </c>
      <c r="J103" s="3">
        <v>28.7</v>
      </c>
      <c r="K103" s="3">
        <v>44</v>
      </c>
      <c r="L103" s="3">
        <v>10102.4</v>
      </c>
      <c r="M103" s="3">
        <v>0.17100000000000001</v>
      </c>
      <c r="N103" s="3">
        <v>1.7275100000000001</v>
      </c>
      <c r="O103" s="3">
        <v>0</v>
      </c>
      <c r="P103" s="3">
        <v>6.91</v>
      </c>
      <c r="Q103" s="3">
        <v>0.78400000000000003</v>
      </c>
      <c r="R103" s="3">
        <v>0</v>
      </c>
      <c r="S103" s="3">
        <v>1.7275100000000001</v>
      </c>
      <c r="T103" s="3" t="s">
        <v>894</v>
      </c>
    </row>
  </sheetData>
  <autoFilter ref="A3:T3" xr:uid="{00000000-0009-0000-0000-000006000000}"/>
  <mergeCells count="2">
    <mergeCell ref="A1:P1"/>
    <mergeCell ref="A2:P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T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1001</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38.25" x14ac:dyDescent="0.25">
      <c r="A3" s="1" t="s">
        <v>2</v>
      </c>
      <c r="B3" s="1" t="s">
        <v>3</v>
      </c>
      <c r="C3" s="1" t="s">
        <v>4</v>
      </c>
      <c r="D3" s="1" t="s">
        <v>1002</v>
      </c>
      <c r="E3" s="1" t="s">
        <v>1003</v>
      </c>
      <c r="F3" s="1" t="s">
        <v>1004</v>
      </c>
      <c r="G3" s="1" t="s">
        <v>490</v>
      </c>
      <c r="H3" s="1" t="s">
        <v>1005</v>
      </c>
      <c r="I3" s="1" t="s">
        <v>1006</v>
      </c>
      <c r="J3" s="1" t="s">
        <v>1007</v>
      </c>
      <c r="K3" s="1" t="s">
        <v>12</v>
      </c>
      <c r="L3" s="1" t="s">
        <v>1008</v>
      </c>
      <c r="M3" s="1" t="s">
        <v>1009</v>
      </c>
      <c r="N3" s="1" t="s">
        <v>1010</v>
      </c>
      <c r="O3" s="1" t="s">
        <v>1011</v>
      </c>
      <c r="P3" s="1" t="s">
        <v>1012</v>
      </c>
      <c r="Q3" s="1" t="s">
        <v>1013</v>
      </c>
      <c r="R3" s="1" t="s">
        <v>1014</v>
      </c>
      <c r="S3" s="1" t="s">
        <v>1015</v>
      </c>
      <c r="T3" s="1" t="s">
        <v>541</v>
      </c>
    </row>
    <row r="4" spans="1:20" x14ac:dyDescent="0.25">
      <c r="A4" s="2">
        <v>1</v>
      </c>
      <c r="B4" s="2">
        <v>2023</v>
      </c>
      <c r="C4" s="2" t="s">
        <v>22</v>
      </c>
      <c r="D4" s="2" t="s">
        <v>1016</v>
      </c>
      <c r="E4" s="2" t="s">
        <v>1017</v>
      </c>
      <c r="F4" s="2" t="s">
        <v>1018</v>
      </c>
      <c r="G4" s="2" t="s">
        <v>65</v>
      </c>
      <c r="H4" s="2" t="s">
        <v>1019</v>
      </c>
      <c r="I4" s="2" t="s">
        <v>1020</v>
      </c>
      <c r="J4" s="2">
        <v>738.1</v>
      </c>
      <c r="K4" s="2" t="s">
        <v>1021</v>
      </c>
      <c r="L4" s="2">
        <v>221527</v>
      </c>
      <c r="M4" s="2">
        <v>197.52</v>
      </c>
      <c r="N4" s="2">
        <v>0.61160000000000003</v>
      </c>
      <c r="O4" s="2">
        <v>79.099999999999994</v>
      </c>
      <c r="P4" s="2">
        <v>135.48589999999999</v>
      </c>
      <c r="Q4" s="2">
        <v>15.623799999999999</v>
      </c>
      <c r="R4" s="2">
        <v>151.1097</v>
      </c>
      <c r="S4" s="2">
        <v>159295</v>
      </c>
      <c r="T4" s="2" t="s">
        <v>1022</v>
      </c>
    </row>
    <row r="5" spans="1:20" x14ac:dyDescent="0.25">
      <c r="A5" s="3">
        <v>2</v>
      </c>
      <c r="B5" s="3">
        <v>2023</v>
      </c>
      <c r="C5" s="3" t="s">
        <v>32</v>
      </c>
      <c r="D5" s="3" t="s">
        <v>1023</v>
      </c>
      <c r="E5" s="3" t="s">
        <v>884</v>
      </c>
      <c r="F5" s="3" t="s">
        <v>1024</v>
      </c>
      <c r="G5" s="3" t="s">
        <v>92</v>
      </c>
      <c r="H5" s="3" t="s">
        <v>1025</v>
      </c>
      <c r="I5" s="3" t="s">
        <v>1026</v>
      </c>
      <c r="J5" s="3">
        <v>3455.8</v>
      </c>
      <c r="K5" s="3" t="s">
        <v>1021</v>
      </c>
      <c r="L5" s="3">
        <v>154406.70000000001</v>
      </c>
      <c r="M5" s="3">
        <v>41.97</v>
      </c>
      <c r="N5" s="3">
        <v>0.84060000000000001</v>
      </c>
      <c r="O5" s="3">
        <v>62.74</v>
      </c>
      <c r="P5" s="3">
        <v>129.79429999999999</v>
      </c>
      <c r="Q5" s="3">
        <v>2.6332</v>
      </c>
      <c r="R5" s="3">
        <v>132.42750000000001</v>
      </c>
      <c r="S5" s="3">
        <v>19215</v>
      </c>
      <c r="T5" s="3" t="s">
        <v>512</v>
      </c>
    </row>
    <row r="6" spans="1:20" x14ac:dyDescent="0.25">
      <c r="A6" s="2">
        <v>3</v>
      </c>
      <c r="B6" s="2">
        <v>2023</v>
      </c>
      <c r="C6" s="2" t="s">
        <v>39</v>
      </c>
      <c r="D6" s="2" t="s">
        <v>1027</v>
      </c>
      <c r="E6" s="2" t="s">
        <v>1028</v>
      </c>
      <c r="F6" s="2" t="s">
        <v>1029</v>
      </c>
      <c r="G6" s="2" t="s">
        <v>92</v>
      </c>
      <c r="H6" s="2" t="s">
        <v>1030</v>
      </c>
      <c r="I6" s="2" t="s">
        <v>1026</v>
      </c>
      <c r="J6" s="2">
        <v>1021.9</v>
      </c>
      <c r="K6" s="2" t="s">
        <v>1021</v>
      </c>
      <c r="L6" s="2">
        <v>17363.599999999999</v>
      </c>
      <c r="M6" s="2">
        <v>131.96</v>
      </c>
      <c r="N6" s="2">
        <v>0.64659999999999995</v>
      </c>
      <c r="O6" s="2">
        <v>64.069999999999993</v>
      </c>
      <c r="P6" s="2">
        <v>11.2273</v>
      </c>
      <c r="Q6" s="2">
        <v>8.4547000000000008</v>
      </c>
      <c r="R6" s="2">
        <v>19.681999999999999</v>
      </c>
      <c r="S6" s="2">
        <v>42461</v>
      </c>
      <c r="T6" s="2" t="s">
        <v>1022</v>
      </c>
    </row>
    <row r="7" spans="1:20" x14ac:dyDescent="0.25">
      <c r="A7" s="3">
        <v>4</v>
      </c>
      <c r="B7" s="3">
        <v>2023</v>
      </c>
      <c r="C7" s="3" t="s">
        <v>46</v>
      </c>
      <c r="D7" s="3" t="s">
        <v>1031</v>
      </c>
      <c r="E7" s="3" t="s">
        <v>1032</v>
      </c>
      <c r="F7" s="3" t="s">
        <v>1033</v>
      </c>
      <c r="G7" s="3" t="s">
        <v>58</v>
      </c>
      <c r="H7" s="3" t="s">
        <v>1025</v>
      </c>
      <c r="I7" s="3" t="s">
        <v>1034</v>
      </c>
      <c r="J7" s="3">
        <v>4604.5</v>
      </c>
      <c r="K7" s="3" t="s">
        <v>1021</v>
      </c>
      <c r="L7" s="3">
        <v>103495.2</v>
      </c>
      <c r="M7" s="3">
        <v>180.23</v>
      </c>
      <c r="N7" s="3">
        <v>0.44240000000000002</v>
      </c>
      <c r="O7" s="3">
        <v>60.55</v>
      </c>
      <c r="P7" s="3">
        <v>45.786299999999997</v>
      </c>
      <c r="Q7" s="3">
        <v>10.9129</v>
      </c>
      <c r="R7" s="3">
        <v>56.699199999999998</v>
      </c>
      <c r="S7" s="3">
        <v>424472</v>
      </c>
      <c r="T7" s="3" t="s">
        <v>512</v>
      </c>
    </row>
    <row r="8" spans="1:20" x14ac:dyDescent="0.25">
      <c r="A8" s="2">
        <v>5</v>
      </c>
      <c r="B8" s="2">
        <v>2023</v>
      </c>
      <c r="C8" s="2" t="s">
        <v>22</v>
      </c>
      <c r="D8" s="2" t="s">
        <v>1035</v>
      </c>
      <c r="E8" s="2" t="s">
        <v>1017</v>
      </c>
      <c r="F8" s="2" t="s">
        <v>1029</v>
      </c>
      <c r="G8" s="2" t="s">
        <v>139</v>
      </c>
      <c r="H8" s="2" t="s">
        <v>1025</v>
      </c>
      <c r="I8" s="2" t="s">
        <v>1036</v>
      </c>
      <c r="J8" s="2">
        <v>844.8</v>
      </c>
      <c r="K8" s="2" t="s">
        <v>1021</v>
      </c>
      <c r="L8" s="2">
        <v>250816.6</v>
      </c>
      <c r="M8" s="2">
        <v>145.71</v>
      </c>
      <c r="N8" s="2">
        <v>0.47089999999999999</v>
      </c>
      <c r="O8" s="2">
        <v>67.11</v>
      </c>
      <c r="P8" s="2">
        <v>118.1095</v>
      </c>
      <c r="Q8" s="2">
        <v>9.7786000000000008</v>
      </c>
      <c r="R8" s="2">
        <v>127.88809999999999</v>
      </c>
      <c r="S8" s="2">
        <v>293286</v>
      </c>
      <c r="T8" s="2" t="s">
        <v>1022</v>
      </c>
    </row>
    <row r="9" spans="1:20" x14ac:dyDescent="0.25">
      <c r="A9" s="3">
        <v>6</v>
      </c>
      <c r="B9" s="3">
        <v>2023</v>
      </c>
      <c r="C9" s="3" t="s">
        <v>32</v>
      </c>
      <c r="D9" s="3" t="s">
        <v>1037</v>
      </c>
      <c r="E9" s="3" t="s">
        <v>1038</v>
      </c>
      <c r="F9" s="3" t="s">
        <v>1024</v>
      </c>
      <c r="G9" s="3" t="s">
        <v>88</v>
      </c>
      <c r="H9" s="3" t="s">
        <v>1019</v>
      </c>
      <c r="I9" s="3" t="s">
        <v>1039</v>
      </c>
      <c r="J9" s="3">
        <v>4823.1000000000004</v>
      </c>
      <c r="K9" s="3" t="s">
        <v>1021</v>
      </c>
      <c r="L9" s="3">
        <v>86715</v>
      </c>
      <c r="M9" s="3">
        <v>150.80000000000001</v>
      </c>
      <c r="N9" s="3">
        <v>0.35220000000000001</v>
      </c>
      <c r="O9" s="3">
        <v>71.760000000000005</v>
      </c>
      <c r="P9" s="3">
        <v>30.541</v>
      </c>
      <c r="Q9" s="3">
        <v>10.821400000000001</v>
      </c>
      <c r="R9" s="3">
        <v>41.362400000000001</v>
      </c>
      <c r="S9" s="3">
        <v>427135</v>
      </c>
      <c r="T9" s="3" t="s">
        <v>518</v>
      </c>
    </row>
    <row r="10" spans="1:20" x14ac:dyDescent="0.25">
      <c r="A10" s="2">
        <v>7</v>
      </c>
      <c r="B10" s="2">
        <v>2023</v>
      </c>
      <c r="C10" s="2" t="s">
        <v>39</v>
      </c>
      <c r="D10" s="2" t="s">
        <v>1040</v>
      </c>
      <c r="E10" s="2" t="s">
        <v>1041</v>
      </c>
      <c r="F10" s="2" t="s">
        <v>1042</v>
      </c>
      <c r="G10" s="2" t="s">
        <v>24</v>
      </c>
      <c r="H10" s="2" t="s">
        <v>1043</v>
      </c>
      <c r="I10" s="2" t="s">
        <v>1034</v>
      </c>
      <c r="J10" s="2">
        <v>966.4</v>
      </c>
      <c r="K10" s="2" t="s">
        <v>1021</v>
      </c>
      <c r="L10" s="2">
        <v>337089.3</v>
      </c>
      <c r="M10" s="2">
        <v>21.46</v>
      </c>
      <c r="N10" s="2">
        <v>0.76739999999999997</v>
      </c>
      <c r="O10" s="2">
        <v>79.44</v>
      </c>
      <c r="P10" s="2">
        <v>258.6823</v>
      </c>
      <c r="Q10" s="2">
        <v>1.7048000000000001</v>
      </c>
      <c r="R10" s="2">
        <v>260.38709999999998</v>
      </c>
      <c r="S10" s="2">
        <v>261983</v>
      </c>
      <c r="T10" s="2" t="s">
        <v>512</v>
      </c>
    </row>
    <row r="11" spans="1:20" x14ac:dyDescent="0.25">
      <c r="A11" s="3">
        <v>8</v>
      </c>
      <c r="B11" s="3">
        <v>2023</v>
      </c>
      <c r="C11" s="3" t="s">
        <v>46</v>
      </c>
      <c r="D11" s="3" t="s">
        <v>1044</v>
      </c>
      <c r="E11" s="3" t="s">
        <v>1032</v>
      </c>
      <c r="F11" s="3" t="s">
        <v>1018</v>
      </c>
      <c r="G11" s="3" t="s">
        <v>33</v>
      </c>
      <c r="H11" s="3" t="s">
        <v>1025</v>
      </c>
      <c r="I11" s="3" t="s">
        <v>1026</v>
      </c>
      <c r="J11" s="3">
        <v>2356.1999999999998</v>
      </c>
      <c r="K11" s="3" t="s">
        <v>1021</v>
      </c>
      <c r="L11" s="3">
        <v>260344.1</v>
      </c>
      <c r="M11" s="3">
        <v>99.16</v>
      </c>
      <c r="N11" s="3">
        <v>0.53059999999999996</v>
      </c>
      <c r="O11" s="3">
        <v>58.65</v>
      </c>
      <c r="P11" s="3">
        <v>138.1386</v>
      </c>
      <c r="Q11" s="3">
        <v>5.8156999999999996</v>
      </c>
      <c r="R11" s="3">
        <v>143.95429999999999</v>
      </c>
      <c r="S11" s="3">
        <v>170777</v>
      </c>
      <c r="T11" s="3" t="s">
        <v>512</v>
      </c>
    </row>
    <row r="12" spans="1:20" x14ac:dyDescent="0.25">
      <c r="A12" s="2">
        <v>9</v>
      </c>
      <c r="B12" s="2">
        <v>2023</v>
      </c>
      <c r="C12" s="2" t="s">
        <v>22</v>
      </c>
      <c r="D12" s="2" t="s">
        <v>1045</v>
      </c>
      <c r="E12" s="2" t="s">
        <v>1046</v>
      </c>
      <c r="F12" s="2" t="s">
        <v>1018</v>
      </c>
      <c r="G12" s="2" t="s">
        <v>70</v>
      </c>
      <c r="H12" s="2" t="s">
        <v>1030</v>
      </c>
      <c r="I12" s="2" t="s">
        <v>1036</v>
      </c>
      <c r="J12" s="2">
        <v>3021.9</v>
      </c>
      <c r="K12" s="2" t="s">
        <v>1021</v>
      </c>
      <c r="L12" s="2">
        <v>156691.4</v>
      </c>
      <c r="M12" s="2">
        <v>195.24</v>
      </c>
      <c r="N12" s="2">
        <v>0.57199999999999995</v>
      </c>
      <c r="O12" s="2">
        <v>66.62</v>
      </c>
      <c r="P12" s="2">
        <v>89.627499999999998</v>
      </c>
      <c r="Q12" s="2">
        <v>13.0069</v>
      </c>
      <c r="R12" s="2">
        <v>102.6344</v>
      </c>
      <c r="S12" s="2">
        <v>219701</v>
      </c>
      <c r="T12" s="2" t="s">
        <v>512</v>
      </c>
    </row>
    <row r="13" spans="1:20" x14ac:dyDescent="0.25">
      <c r="A13" s="3">
        <v>10</v>
      </c>
      <c r="B13" s="3">
        <v>2023</v>
      </c>
      <c r="C13" s="3" t="s">
        <v>32</v>
      </c>
      <c r="D13" s="3" t="s">
        <v>1047</v>
      </c>
      <c r="E13" s="3" t="s">
        <v>1017</v>
      </c>
      <c r="F13" s="3" t="s">
        <v>1042</v>
      </c>
      <c r="G13" s="3" t="s">
        <v>96</v>
      </c>
      <c r="H13" s="3" t="s">
        <v>1025</v>
      </c>
      <c r="I13" s="3" t="s">
        <v>1026</v>
      </c>
      <c r="J13" s="3">
        <v>937.5</v>
      </c>
      <c r="K13" s="3" t="s">
        <v>1021</v>
      </c>
      <c r="L13" s="3">
        <v>499362.9</v>
      </c>
      <c r="M13" s="3">
        <v>98.33</v>
      </c>
      <c r="N13" s="3">
        <v>0.40260000000000001</v>
      </c>
      <c r="O13" s="3">
        <v>63.14</v>
      </c>
      <c r="P13" s="3">
        <v>201.04349999999999</v>
      </c>
      <c r="Q13" s="3">
        <v>6.2085999999999997</v>
      </c>
      <c r="R13" s="3">
        <v>207.25210000000001</v>
      </c>
      <c r="S13" s="3">
        <v>80250</v>
      </c>
      <c r="T13" s="3" t="s">
        <v>518</v>
      </c>
    </row>
    <row r="14" spans="1:20" x14ac:dyDescent="0.25">
      <c r="A14" s="2">
        <v>11</v>
      </c>
      <c r="B14" s="2">
        <v>2023</v>
      </c>
      <c r="C14" s="2" t="s">
        <v>39</v>
      </c>
      <c r="D14" s="2" t="s">
        <v>1048</v>
      </c>
      <c r="E14" s="2" t="s">
        <v>1032</v>
      </c>
      <c r="F14" s="2" t="s">
        <v>1042</v>
      </c>
      <c r="G14" s="2" t="s">
        <v>24</v>
      </c>
      <c r="H14" s="2" t="s">
        <v>1019</v>
      </c>
      <c r="I14" s="2" t="s">
        <v>1039</v>
      </c>
      <c r="J14" s="2">
        <v>3720.1</v>
      </c>
      <c r="K14" s="2" t="s">
        <v>1021</v>
      </c>
      <c r="L14" s="2">
        <v>446321.4</v>
      </c>
      <c r="M14" s="2">
        <v>33.74</v>
      </c>
      <c r="N14" s="2">
        <v>0.53190000000000004</v>
      </c>
      <c r="O14" s="2">
        <v>55.97</v>
      </c>
      <c r="P14" s="2">
        <v>237.39840000000001</v>
      </c>
      <c r="Q14" s="2">
        <v>1.8884000000000001</v>
      </c>
      <c r="R14" s="2">
        <v>239.2868</v>
      </c>
      <c r="S14" s="2">
        <v>423574</v>
      </c>
      <c r="T14" s="2" t="s">
        <v>1022</v>
      </c>
    </row>
    <row r="15" spans="1:20" x14ac:dyDescent="0.25">
      <c r="A15" s="3">
        <v>12</v>
      </c>
      <c r="B15" s="3">
        <v>2023</v>
      </c>
      <c r="C15" s="3" t="s">
        <v>46</v>
      </c>
      <c r="D15" s="3" t="s">
        <v>1049</v>
      </c>
      <c r="E15" s="3" t="s">
        <v>1050</v>
      </c>
      <c r="F15" s="3" t="s">
        <v>1051</v>
      </c>
      <c r="G15" s="3" t="s">
        <v>33</v>
      </c>
      <c r="H15" s="3" t="s">
        <v>1043</v>
      </c>
      <c r="I15" s="3" t="s">
        <v>1052</v>
      </c>
      <c r="J15" s="3">
        <v>3639.7</v>
      </c>
      <c r="K15" s="3" t="s">
        <v>1021</v>
      </c>
      <c r="L15" s="3">
        <v>139980.6</v>
      </c>
      <c r="M15" s="3">
        <v>142.69999999999999</v>
      </c>
      <c r="N15" s="3">
        <v>0.64100000000000001</v>
      </c>
      <c r="O15" s="3">
        <v>58.19</v>
      </c>
      <c r="P15" s="3">
        <v>89.727599999999995</v>
      </c>
      <c r="Q15" s="3">
        <v>8.3036999999999992</v>
      </c>
      <c r="R15" s="3">
        <v>98.031300000000002</v>
      </c>
      <c r="S15" s="3">
        <v>243155</v>
      </c>
      <c r="T15" s="3" t="s">
        <v>512</v>
      </c>
    </row>
    <row r="16" spans="1:20" x14ac:dyDescent="0.25">
      <c r="A16" s="2">
        <v>13</v>
      </c>
      <c r="B16" s="2">
        <v>2023</v>
      </c>
      <c r="C16" s="2" t="s">
        <v>22</v>
      </c>
      <c r="D16" s="2" t="s">
        <v>1053</v>
      </c>
      <c r="E16" s="2" t="s">
        <v>1054</v>
      </c>
      <c r="F16" s="2" t="s">
        <v>1029</v>
      </c>
      <c r="G16" s="2" t="s">
        <v>54</v>
      </c>
      <c r="H16" s="2" t="s">
        <v>1019</v>
      </c>
      <c r="I16" s="2" t="s">
        <v>1026</v>
      </c>
      <c r="J16" s="2">
        <v>1430.5</v>
      </c>
      <c r="K16" s="2" t="s">
        <v>1055</v>
      </c>
      <c r="L16" s="2">
        <v>384231.8</v>
      </c>
      <c r="M16" s="2">
        <v>21.61</v>
      </c>
      <c r="N16" s="2">
        <v>0.4753</v>
      </c>
      <c r="O16" s="2">
        <v>64.92</v>
      </c>
      <c r="P16" s="2">
        <v>182.62540000000001</v>
      </c>
      <c r="Q16" s="2">
        <v>1.4029</v>
      </c>
      <c r="R16" s="2">
        <v>184.0283</v>
      </c>
      <c r="S16" s="2">
        <v>58806</v>
      </c>
      <c r="T16" s="2" t="s">
        <v>1022</v>
      </c>
    </row>
    <row r="17" spans="1:20" x14ac:dyDescent="0.25">
      <c r="A17" s="3">
        <v>14</v>
      </c>
      <c r="B17" s="3">
        <v>2023</v>
      </c>
      <c r="C17" s="3" t="s">
        <v>32</v>
      </c>
      <c r="D17" s="3" t="s">
        <v>1056</v>
      </c>
      <c r="E17" s="3" t="s">
        <v>1046</v>
      </c>
      <c r="F17" s="3" t="s">
        <v>1018</v>
      </c>
      <c r="G17" s="3" t="s">
        <v>154</v>
      </c>
      <c r="H17" s="3" t="s">
        <v>1057</v>
      </c>
      <c r="I17" s="3" t="s">
        <v>1039</v>
      </c>
      <c r="J17" s="3">
        <v>3406.6</v>
      </c>
      <c r="K17" s="3" t="s">
        <v>1021</v>
      </c>
      <c r="L17" s="3">
        <v>486064.2</v>
      </c>
      <c r="M17" s="3">
        <v>76.53</v>
      </c>
      <c r="N17" s="3">
        <v>0.68959999999999999</v>
      </c>
      <c r="O17" s="3">
        <v>54.58</v>
      </c>
      <c r="P17" s="3">
        <v>335.18990000000002</v>
      </c>
      <c r="Q17" s="3">
        <v>4.1769999999999996</v>
      </c>
      <c r="R17" s="3">
        <v>339.36689999999999</v>
      </c>
      <c r="S17" s="3">
        <v>57203</v>
      </c>
      <c r="T17" s="3" t="s">
        <v>518</v>
      </c>
    </row>
    <row r="18" spans="1:20" x14ac:dyDescent="0.25">
      <c r="A18" s="2">
        <v>15</v>
      </c>
      <c r="B18" s="2">
        <v>2023</v>
      </c>
      <c r="C18" s="2" t="s">
        <v>39</v>
      </c>
      <c r="D18" s="2" t="s">
        <v>1058</v>
      </c>
      <c r="E18" s="2" t="s">
        <v>1046</v>
      </c>
      <c r="F18" s="2" t="s">
        <v>1059</v>
      </c>
      <c r="G18" s="2" t="s">
        <v>120</v>
      </c>
      <c r="H18" s="2" t="s">
        <v>1030</v>
      </c>
      <c r="I18" s="2" t="s">
        <v>1036</v>
      </c>
      <c r="J18" s="2">
        <v>3974</v>
      </c>
      <c r="K18" s="2" t="s">
        <v>1021</v>
      </c>
      <c r="L18" s="2">
        <v>101763.9</v>
      </c>
      <c r="M18" s="2">
        <v>132.41999999999999</v>
      </c>
      <c r="N18" s="2">
        <v>0.59509999999999996</v>
      </c>
      <c r="O18" s="2">
        <v>57.85</v>
      </c>
      <c r="P18" s="2">
        <v>60.559699999999999</v>
      </c>
      <c r="Q18" s="2">
        <v>7.6604999999999999</v>
      </c>
      <c r="R18" s="2">
        <v>68.220200000000006</v>
      </c>
      <c r="S18" s="2">
        <v>431239</v>
      </c>
      <c r="T18" s="2" t="s">
        <v>1022</v>
      </c>
    </row>
    <row r="19" spans="1:20" x14ac:dyDescent="0.25">
      <c r="A19" s="3">
        <v>16</v>
      </c>
      <c r="B19" s="3">
        <v>2023</v>
      </c>
      <c r="C19" s="3" t="s">
        <v>46</v>
      </c>
      <c r="D19" s="3" t="s">
        <v>1060</v>
      </c>
      <c r="E19" s="3" t="s">
        <v>1050</v>
      </c>
      <c r="F19" s="3" t="s">
        <v>1033</v>
      </c>
      <c r="G19" s="3" t="s">
        <v>70</v>
      </c>
      <c r="H19" s="3" t="s">
        <v>1025</v>
      </c>
      <c r="I19" s="3" t="s">
        <v>1026</v>
      </c>
      <c r="J19" s="3">
        <v>4406.6000000000004</v>
      </c>
      <c r="K19" s="3" t="s">
        <v>1021</v>
      </c>
      <c r="L19" s="3">
        <v>60447.9</v>
      </c>
      <c r="M19" s="3">
        <v>90.02</v>
      </c>
      <c r="N19" s="3">
        <v>0.77639999999999998</v>
      </c>
      <c r="O19" s="3">
        <v>63.28</v>
      </c>
      <c r="P19" s="3">
        <v>46.931699999999999</v>
      </c>
      <c r="Q19" s="3">
        <v>5.6965000000000003</v>
      </c>
      <c r="R19" s="3">
        <v>52.6282</v>
      </c>
      <c r="S19" s="3">
        <v>96666</v>
      </c>
      <c r="T19" s="3" t="s">
        <v>518</v>
      </c>
    </row>
    <row r="20" spans="1:20" x14ac:dyDescent="0.25">
      <c r="A20" s="2">
        <v>17</v>
      </c>
      <c r="B20" s="2">
        <v>2023</v>
      </c>
      <c r="C20" s="2" t="s">
        <v>22</v>
      </c>
      <c r="D20" s="2" t="s">
        <v>1061</v>
      </c>
      <c r="E20" s="2" t="s">
        <v>884</v>
      </c>
      <c r="F20" s="2" t="s">
        <v>1059</v>
      </c>
      <c r="G20" s="2" t="s">
        <v>58</v>
      </c>
      <c r="H20" s="2" t="s">
        <v>1043</v>
      </c>
      <c r="I20" s="2" t="s">
        <v>1020</v>
      </c>
      <c r="J20" s="2">
        <v>2482.8000000000002</v>
      </c>
      <c r="K20" s="2" t="s">
        <v>1021</v>
      </c>
      <c r="L20" s="2">
        <v>68109.600000000006</v>
      </c>
      <c r="M20" s="2">
        <v>143.13999999999999</v>
      </c>
      <c r="N20" s="2">
        <v>0.59370000000000001</v>
      </c>
      <c r="O20" s="2">
        <v>53.28</v>
      </c>
      <c r="P20" s="2">
        <v>40.436700000000002</v>
      </c>
      <c r="Q20" s="2">
        <v>7.6265000000000001</v>
      </c>
      <c r="R20" s="2">
        <v>48.063200000000002</v>
      </c>
      <c r="S20" s="2">
        <v>281354</v>
      </c>
      <c r="T20" s="2" t="s">
        <v>512</v>
      </c>
    </row>
    <row r="21" spans="1:20" x14ac:dyDescent="0.25">
      <c r="A21" s="3">
        <v>18</v>
      </c>
      <c r="B21" s="3">
        <v>2023</v>
      </c>
      <c r="C21" s="3" t="s">
        <v>32</v>
      </c>
      <c r="D21" s="3" t="s">
        <v>1062</v>
      </c>
      <c r="E21" s="3" t="s">
        <v>1046</v>
      </c>
      <c r="F21" s="3" t="s">
        <v>1033</v>
      </c>
      <c r="G21" s="3" t="s">
        <v>88</v>
      </c>
      <c r="H21" s="3" t="s">
        <v>1043</v>
      </c>
      <c r="I21" s="3" t="s">
        <v>1039</v>
      </c>
      <c r="J21" s="3">
        <v>2833.2</v>
      </c>
      <c r="K21" s="3" t="s">
        <v>1021</v>
      </c>
      <c r="L21" s="3">
        <v>78999.199999999997</v>
      </c>
      <c r="M21" s="3">
        <v>11.15</v>
      </c>
      <c r="N21" s="3">
        <v>0.48170000000000002</v>
      </c>
      <c r="O21" s="3">
        <v>67.73</v>
      </c>
      <c r="P21" s="3">
        <v>38.053899999999999</v>
      </c>
      <c r="Q21" s="3">
        <v>0.75519999999999998</v>
      </c>
      <c r="R21" s="3">
        <v>38.809100000000001</v>
      </c>
      <c r="S21" s="3">
        <v>341479</v>
      </c>
      <c r="T21" s="3" t="s">
        <v>1022</v>
      </c>
    </row>
    <row r="22" spans="1:20" ht="24" x14ac:dyDescent="0.25">
      <c r="A22" s="2">
        <v>19</v>
      </c>
      <c r="B22" s="2">
        <v>2023</v>
      </c>
      <c r="C22" s="2" t="s">
        <v>39</v>
      </c>
      <c r="D22" s="2" t="s">
        <v>1063</v>
      </c>
      <c r="E22" s="2" t="s">
        <v>1028</v>
      </c>
      <c r="F22" s="2" t="s">
        <v>1064</v>
      </c>
      <c r="G22" s="2" t="s">
        <v>88</v>
      </c>
      <c r="H22" s="2" t="s">
        <v>1030</v>
      </c>
      <c r="I22" s="2" t="s">
        <v>1065</v>
      </c>
      <c r="J22" s="2">
        <v>2972.8</v>
      </c>
      <c r="K22" s="2" t="s">
        <v>1021</v>
      </c>
      <c r="L22" s="2">
        <v>64970.8</v>
      </c>
      <c r="M22" s="2">
        <v>73.28</v>
      </c>
      <c r="N22" s="2">
        <v>0.75480000000000003</v>
      </c>
      <c r="O22" s="2">
        <v>67.52</v>
      </c>
      <c r="P22" s="2">
        <v>49.04</v>
      </c>
      <c r="Q22" s="2">
        <v>4.9478999999999997</v>
      </c>
      <c r="R22" s="2">
        <v>53.987900000000003</v>
      </c>
      <c r="S22" s="2">
        <v>57702</v>
      </c>
      <c r="T22" s="2" t="s">
        <v>512</v>
      </c>
    </row>
    <row r="23" spans="1:20" ht="24" x14ac:dyDescent="0.25">
      <c r="A23" s="3">
        <v>20</v>
      </c>
      <c r="B23" s="3">
        <v>2023</v>
      </c>
      <c r="C23" s="3" t="s">
        <v>46</v>
      </c>
      <c r="D23" s="3" t="s">
        <v>1066</v>
      </c>
      <c r="E23" s="3" t="s">
        <v>1017</v>
      </c>
      <c r="F23" s="3" t="s">
        <v>1064</v>
      </c>
      <c r="G23" s="3" t="s">
        <v>110</v>
      </c>
      <c r="H23" s="3" t="s">
        <v>1025</v>
      </c>
      <c r="I23" s="3" t="s">
        <v>1036</v>
      </c>
      <c r="J23" s="3">
        <v>329.4</v>
      </c>
      <c r="K23" s="3" t="s">
        <v>1021</v>
      </c>
      <c r="L23" s="3">
        <v>122870.2</v>
      </c>
      <c r="M23" s="3">
        <v>46.92</v>
      </c>
      <c r="N23" s="3">
        <v>0.50600000000000001</v>
      </c>
      <c r="O23" s="3">
        <v>52.55</v>
      </c>
      <c r="P23" s="3">
        <v>62.1723</v>
      </c>
      <c r="Q23" s="3">
        <v>2.4655999999999998</v>
      </c>
      <c r="R23" s="3">
        <v>64.637900000000002</v>
      </c>
      <c r="S23" s="3">
        <v>159407</v>
      </c>
      <c r="T23" s="3" t="s">
        <v>1022</v>
      </c>
    </row>
    <row r="24" spans="1:20" x14ac:dyDescent="0.25">
      <c r="A24" s="2">
        <v>21</v>
      </c>
      <c r="B24" s="2">
        <v>2023</v>
      </c>
      <c r="C24" s="2" t="s">
        <v>22</v>
      </c>
      <c r="D24" s="2" t="s">
        <v>1067</v>
      </c>
      <c r="E24" s="2" t="s">
        <v>1054</v>
      </c>
      <c r="F24" s="2" t="s">
        <v>1051</v>
      </c>
      <c r="G24" s="2" t="s">
        <v>120</v>
      </c>
      <c r="H24" s="2" t="s">
        <v>1030</v>
      </c>
      <c r="I24" s="2" t="s">
        <v>1026</v>
      </c>
      <c r="J24" s="2">
        <v>1664.3</v>
      </c>
      <c r="K24" s="2" t="s">
        <v>1055</v>
      </c>
      <c r="L24" s="2">
        <v>230993.8</v>
      </c>
      <c r="M24" s="2">
        <v>172.67</v>
      </c>
      <c r="N24" s="2">
        <v>0.63400000000000001</v>
      </c>
      <c r="O24" s="2">
        <v>77.040000000000006</v>
      </c>
      <c r="P24" s="2">
        <v>146.45009999999999</v>
      </c>
      <c r="Q24" s="2">
        <v>13.3025</v>
      </c>
      <c r="R24" s="2">
        <v>159.7526</v>
      </c>
      <c r="S24" s="2">
        <v>351020</v>
      </c>
      <c r="T24" s="2" t="s">
        <v>512</v>
      </c>
    </row>
    <row r="25" spans="1:20" ht="24" x14ac:dyDescent="0.25">
      <c r="A25" s="3">
        <v>22</v>
      </c>
      <c r="B25" s="3">
        <v>2023</v>
      </c>
      <c r="C25" s="3" t="s">
        <v>32</v>
      </c>
      <c r="D25" s="3" t="s">
        <v>1068</v>
      </c>
      <c r="E25" s="3" t="s">
        <v>1050</v>
      </c>
      <c r="F25" s="3" t="s">
        <v>1064</v>
      </c>
      <c r="G25" s="3" t="s">
        <v>110</v>
      </c>
      <c r="H25" s="3" t="s">
        <v>1019</v>
      </c>
      <c r="I25" s="3" t="s">
        <v>1052</v>
      </c>
      <c r="J25" s="3">
        <v>2873.3</v>
      </c>
      <c r="K25" s="3" t="s">
        <v>1021</v>
      </c>
      <c r="L25" s="3">
        <v>161888.29999999999</v>
      </c>
      <c r="M25" s="3">
        <v>19.55</v>
      </c>
      <c r="N25" s="3">
        <v>0.59419999999999995</v>
      </c>
      <c r="O25" s="3">
        <v>70.73</v>
      </c>
      <c r="P25" s="3">
        <v>96.194000000000003</v>
      </c>
      <c r="Q25" s="3">
        <v>1.3828</v>
      </c>
      <c r="R25" s="3">
        <v>97.576800000000006</v>
      </c>
      <c r="S25" s="3">
        <v>253398</v>
      </c>
      <c r="T25" s="3" t="s">
        <v>518</v>
      </c>
    </row>
    <row r="26" spans="1:20" x14ac:dyDescent="0.25">
      <c r="A26" s="2">
        <v>23</v>
      </c>
      <c r="B26" s="2">
        <v>2023</v>
      </c>
      <c r="C26" s="2" t="s">
        <v>39</v>
      </c>
      <c r="D26" s="2" t="s">
        <v>1069</v>
      </c>
      <c r="E26" s="2" t="s">
        <v>1070</v>
      </c>
      <c r="F26" s="2" t="s">
        <v>1029</v>
      </c>
      <c r="G26" s="2" t="s">
        <v>117</v>
      </c>
      <c r="H26" s="2" t="s">
        <v>1057</v>
      </c>
      <c r="I26" s="2" t="s">
        <v>1034</v>
      </c>
      <c r="J26" s="2">
        <v>1848.5</v>
      </c>
      <c r="K26" s="2" t="s">
        <v>1021</v>
      </c>
      <c r="L26" s="2">
        <v>218559.6</v>
      </c>
      <c r="M26" s="2">
        <v>99.39</v>
      </c>
      <c r="N26" s="2">
        <v>0.77370000000000005</v>
      </c>
      <c r="O26" s="2">
        <v>73.61</v>
      </c>
      <c r="P26" s="2">
        <v>169.09960000000001</v>
      </c>
      <c r="Q26" s="2">
        <v>7.3160999999999996</v>
      </c>
      <c r="R26" s="2">
        <v>176.41569999999999</v>
      </c>
      <c r="S26" s="2">
        <v>150804</v>
      </c>
      <c r="T26" s="2" t="s">
        <v>518</v>
      </c>
    </row>
    <row r="27" spans="1:20" x14ac:dyDescent="0.25">
      <c r="A27" s="3">
        <v>24</v>
      </c>
      <c r="B27" s="3">
        <v>2023</v>
      </c>
      <c r="C27" s="3" t="s">
        <v>46</v>
      </c>
      <c r="D27" s="3" t="s">
        <v>1071</v>
      </c>
      <c r="E27" s="3" t="s">
        <v>1050</v>
      </c>
      <c r="F27" s="3" t="s">
        <v>1051</v>
      </c>
      <c r="G27" s="3" t="s">
        <v>92</v>
      </c>
      <c r="H27" s="3" t="s">
        <v>1057</v>
      </c>
      <c r="I27" s="3" t="s">
        <v>1052</v>
      </c>
      <c r="J27" s="3">
        <v>4032.8</v>
      </c>
      <c r="K27" s="3" t="s">
        <v>1021</v>
      </c>
      <c r="L27" s="3">
        <v>312661.59999999998</v>
      </c>
      <c r="M27" s="3">
        <v>191.59</v>
      </c>
      <c r="N27" s="3">
        <v>0.70889999999999997</v>
      </c>
      <c r="O27" s="3">
        <v>67.349999999999994</v>
      </c>
      <c r="P27" s="3">
        <v>221.64580000000001</v>
      </c>
      <c r="Q27" s="3">
        <v>12.903600000000001</v>
      </c>
      <c r="R27" s="3">
        <v>234.54939999999999</v>
      </c>
      <c r="S27" s="3">
        <v>143949</v>
      </c>
      <c r="T27" s="3" t="s">
        <v>518</v>
      </c>
    </row>
    <row r="28" spans="1:20" ht="24" x14ac:dyDescent="0.25">
      <c r="A28" s="2">
        <v>25</v>
      </c>
      <c r="B28" s="2">
        <v>2023</v>
      </c>
      <c r="C28" s="2" t="s">
        <v>22</v>
      </c>
      <c r="D28" s="2" t="s">
        <v>1072</v>
      </c>
      <c r="E28" s="2" t="s">
        <v>1046</v>
      </c>
      <c r="F28" s="2" t="s">
        <v>1064</v>
      </c>
      <c r="G28" s="2" t="s">
        <v>65</v>
      </c>
      <c r="H28" s="2" t="s">
        <v>1030</v>
      </c>
      <c r="I28" s="2" t="s">
        <v>1065</v>
      </c>
      <c r="J28" s="2">
        <v>2164.1999999999998</v>
      </c>
      <c r="K28" s="2" t="s">
        <v>1021</v>
      </c>
      <c r="L28" s="2">
        <v>174310.9</v>
      </c>
      <c r="M28" s="2">
        <v>15.33</v>
      </c>
      <c r="N28" s="2">
        <v>0.76190000000000002</v>
      </c>
      <c r="O28" s="2">
        <v>65.14</v>
      </c>
      <c r="P28" s="2">
        <v>132.8075</v>
      </c>
      <c r="Q28" s="2">
        <v>0.99860000000000004</v>
      </c>
      <c r="R28" s="2">
        <v>133.80609999999999</v>
      </c>
      <c r="S28" s="2">
        <v>335094</v>
      </c>
      <c r="T28" s="2" t="s">
        <v>512</v>
      </c>
    </row>
    <row r="29" spans="1:20" x14ac:dyDescent="0.25">
      <c r="A29" s="3">
        <v>26</v>
      </c>
      <c r="B29" s="3">
        <v>2023</v>
      </c>
      <c r="C29" s="3" t="s">
        <v>32</v>
      </c>
      <c r="D29" s="3" t="s">
        <v>1073</v>
      </c>
      <c r="E29" s="3" t="s">
        <v>1050</v>
      </c>
      <c r="F29" s="3" t="s">
        <v>1024</v>
      </c>
      <c r="G29" s="3" t="s">
        <v>65</v>
      </c>
      <c r="H29" s="3" t="s">
        <v>1057</v>
      </c>
      <c r="I29" s="3" t="s">
        <v>1036</v>
      </c>
      <c r="J29" s="3">
        <v>1293.8</v>
      </c>
      <c r="K29" s="3" t="s">
        <v>1021</v>
      </c>
      <c r="L29" s="3">
        <v>258169.2</v>
      </c>
      <c r="M29" s="3">
        <v>134.31</v>
      </c>
      <c r="N29" s="3">
        <v>0.62380000000000002</v>
      </c>
      <c r="O29" s="3">
        <v>76.430000000000007</v>
      </c>
      <c r="P29" s="3">
        <v>161.04589999999999</v>
      </c>
      <c r="Q29" s="3">
        <v>10.2653</v>
      </c>
      <c r="R29" s="3">
        <v>171.31120000000001</v>
      </c>
      <c r="S29" s="3">
        <v>101404</v>
      </c>
      <c r="T29" s="3" t="s">
        <v>518</v>
      </c>
    </row>
    <row r="30" spans="1:20" x14ac:dyDescent="0.25">
      <c r="A30" s="2">
        <v>27</v>
      </c>
      <c r="B30" s="2">
        <v>2023</v>
      </c>
      <c r="C30" s="2" t="s">
        <v>39</v>
      </c>
      <c r="D30" s="2" t="s">
        <v>1074</v>
      </c>
      <c r="E30" s="2" t="s">
        <v>1046</v>
      </c>
      <c r="F30" s="2" t="s">
        <v>1059</v>
      </c>
      <c r="G30" s="2" t="s">
        <v>65</v>
      </c>
      <c r="H30" s="2" t="s">
        <v>1057</v>
      </c>
      <c r="I30" s="2" t="s">
        <v>1020</v>
      </c>
      <c r="J30" s="2">
        <v>1376.3</v>
      </c>
      <c r="K30" s="2" t="s">
        <v>1021</v>
      </c>
      <c r="L30" s="2">
        <v>319325.3</v>
      </c>
      <c r="M30" s="2">
        <v>161.79</v>
      </c>
      <c r="N30" s="2">
        <v>0.77639999999999998</v>
      </c>
      <c r="O30" s="2">
        <v>77.209999999999994</v>
      </c>
      <c r="P30" s="2">
        <v>247.92420000000001</v>
      </c>
      <c r="Q30" s="2">
        <v>12.4918</v>
      </c>
      <c r="R30" s="2">
        <v>260.416</v>
      </c>
      <c r="S30" s="2">
        <v>317112</v>
      </c>
      <c r="T30" s="2" t="s">
        <v>512</v>
      </c>
    </row>
    <row r="31" spans="1:20" x14ac:dyDescent="0.25">
      <c r="A31" s="3">
        <v>28</v>
      </c>
      <c r="B31" s="3">
        <v>2023</v>
      </c>
      <c r="C31" s="3" t="s">
        <v>46</v>
      </c>
      <c r="D31" s="3" t="s">
        <v>1075</v>
      </c>
      <c r="E31" s="3" t="s">
        <v>1046</v>
      </c>
      <c r="F31" s="3" t="s">
        <v>1018</v>
      </c>
      <c r="G31" s="3" t="s">
        <v>154</v>
      </c>
      <c r="H31" s="3" t="s">
        <v>1030</v>
      </c>
      <c r="I31" s="3" t="s">
        <v>1036</v>
      </c>
      <c r="J31" s="3">
        <v>781.3</v>
      </c>
      <c r="K31" s="3" t="s">
        <v>1021</v>
      </c>
      <c r="L31" s="3">
        <v>76085.899999999994</v>
      </c>
      <c r="M31" s="3">
        <v>137.06</v>
      </c>
      <c r="N31" s="3">
        <v>0.50009999999999999</v>
      </c>
      <c r="O31" s="3">
        <v>63.06</v>
      </c>
      <c r="P31" s="3">
        <v>38.050600000000003</v>
      </c>
      <c r="Q31" s="3">
        <v>8.6430000000000007</v>
      </c>
      <c r="R31" s="3">
        <v>46.693600000000004</v>
      </c>
      <c r="S31" s="3">
        <v>416805</v>
      </c>
      <c r="T31" s="3" t="s">
        <v>1022</v>
      </c>
    </row>
    <row r="32" spans="1:20" x14ac:dyDescent="0.25">
      <c r="A32" s="2">
        <v>29</v>
      </c>
      <c r="B32" s="2">
        <v>2023</v>
      </c>
      <c r="C32" s="2" t="s">
        <v>22</v>
      </c>
      <c r="D32" s="2" t="s">
        <v>1076</v>
      </c>
      <c r="E32" s="2" t="s">
        <v>1050</v>
      </c>
      <c r="F32" s="2" t="s">
        <v>1029</v>
      </c>
      <c r="G32" s="2" t="s">
        <v>65</v>
      </c>
      <c r="H32" s="2" t="s">
        <v>1019</v>
      </c>
      <c r="I32" s="2" t="s">
        <v>1026</v>
      </c>
      <c r="J32" s="2">
        <v>1371.3</v>
      </c>
      <c r="K32" s="2" t="s">
        <v>1021</v>
      </c>
      <c r="L32" s="2">
        <v>144235.29999999999</v>
      </c>
      <c r="M32" s="2">
        <v>32.119999999999997</v>
      </c>
      <c r="N32" s="2">
        <v>0.69340000000000002</v>
      </c>
      <c r="O32" s="2">
        <v>57.08</v>
      </c>
      <c r="P32" s="2">
        <v>100.0128</v>
      </c>
      <c r="Q32" s="2">
        <v>1.8333999999999999</v>
      </c>
      <c r="R32" s="2">
        <v>101.8462</v>
      </c>
      <c r="S32" s="2">
        <v>83482</v>
      </c>
      <c r="T32" s="2" t="s">
        <v>512</v>
      </c>
    </row>
    <row r="33" spans="1:20" x14ac:dyDescent="0.25">
      <c r="A33" s="3">
        <v>30</v>
      </c>
      <c r="B33" s="3">
        <v>2023</v>
      </c>
      <c r="C33" s="3" t="s">
        <v>32</v>
      </c>
      <c r="D33" s="3" t="s">
        <v>1077</v>
      </c>
      <c r="E33" s="3" t="s">
        <v>1046</v>
      </c>
      <c r="F33" s="3" t="s">
        <v>1033</v>
      </c>
      <c r="G33" s="3" t="s">
        <v>154</v>
      </c>
      <c r="H33" s="3" t="s">
        <v>1030</v>
      </c>
      <c r="I33" s="3" t="s">
        <v>1034</v>
      </c>
      <c r="J33" s="3">
        <v>2452.6</v>
      </c>
      <c r="K33" s="3" t="s">
        <v>1021</v>
      </c>
      <c r="L33" s="3">
        <v>495655.3</v>
      </c>
      <c r="M33" s="3">
        <v>84.4</v>
      </c>
      <c r="N33" s="3">
        <v>0.80279999999999996</v>
      </c>
      <c r="O33" s="3">
        <v>56.06</v>
      </c>
      <c r="P33" s="3">
        <v>397.91210000000001</v>
      </c>
      <c r="Q33" s="3">
        <v>4.7314999999999996</v>
      </c>
      <c r="R33" s="3">
        <v>402.64359999999999</v>
      </c>
      <c r="S33" s="3">
        <v>24280</v>
      </c>
      <c r="T33" s="3" t="s">
        <v>518</v>
      </c>
    </row>
    <row r="34" spans="1:20" x14ac:dyDescent="0.25">
      <c r="A34" s="2">
        <v>31</v>
      </c>
      <c r="B34" s="2">
        <v>2023</v>
      </c>
      <c r="C34" s="2" t="s">
        <v>39</v>
      </c>
      <c r="D34" s="2" t="s">
        <v>1078</v>
      </c>
      <c r="E34" s="2" t="s">
        <v>884</v>
      </c>
      <c r="F34" s="2" t="s">
        <v>1018</v>
      </c>
      <c r="G34" s="2" t="s">
        <v>70</v>
      </c>
      <c r="H34" s="2" t="s">
        <v>1025</v>
      </c>
      <c r="I34" s="2" t="s">
        <v>1052</v>
      </c>
      <c r="J34" s="2">
        <v>3239.3</v>
      </c>
      <c r="K34" s="2" t="s">
        <v>1021</v>
      </c>
      <c r="L34" s="2">
        <v>22074</v>
      </c>
      <c r="M34" s="2">
        <v>144.49</v>
      </c>
      <c r="N34" s="2">
        <v>0.74109999999999998</v>
      </c>
      <c r="O34" s="2">
        <v>51.66</v>
      </c>
      <c r="P34" s="2">
        <v>16.359000000000002</v>
      </c>
      <c r="Q34" s="2">
        <v>7.4644000000000004</v>
      </c>
      <c r="R34" s="2">
        <v>23.823399999999999</v>
      </c>
      <c r="S34" s="2">
        <v>304784</v>
      </c>
      <c r="T34" s="2" t="s">
        <v>512</v>
      </c>
    </row>
    <row r="35" spans="1:20" x14ac:dyDescent="0.25">
      <c r="A35" s="3">
        <v>32</v>
      </c>
      <c r="B35" s="3">
        <v>2023</v>
      </c>
      <c r="C35" s="3" t="s">
        <v>46</v>
      </c>
      <c r="D35" s="3" t="s">
        <v>1079</v>
      </c>
      <c r="E35" s="3" t="s">
        <v>1017</v>
      </c>
      <c r="F35" s="3" t="s">
        <v>1059</v>
      </c>
      <c r="G35" s="3" t="s">
        <v>70</v>
      </c>
      <c r="H35" s="3" t="s">
        <v>1019</v>
      </c>
      <c r="I35" s="3" t="s">
        <v>1026</v>
      </c>
      <c r="J35" s="3">
        <v>3374.8</v>
      </c>
      <c r="K35" s="3" t="s">
        <v>1021</v>
      </c>
      <c r="L35" s="3">
        <v>442974</v>
      </c>
      <c r="M35" s="3">
        <v>79.38</v>
      </c>
      <c r="N35" s="3">
        <v>0.76990000000000003</v>
      </c>
      <c r="O35" s="3">
        <v>75.28</v>
      </c>
      <c r="P35" s="3">
        <v>341.04570000000001</v>
      </c>
      <c r="Q35" s="3">
        <v>5.9756999999999998</v>
      </c>
      <c r="R35" s="3">
        <v>347.02140000000003</v>
      </c>
      <c r="S35" s="3">
        <v>289777</v>
      </c>
      <c r="T35" s="3" t="s">
        <v>1022</v>
      </c>
    </row>
    <row r="36" spans="1:20" ht="24" x14ac:dyDescent="0.25">
      <c r="A36" s="2">
        <v>33</v>
      </c>
      <c r="B36" s="2">
        <v>2023</v>
      </c>
      <c r="C36" s="2" t="s">
        <v>22</v>
      </c>
      <c r="D36" s="2" t="s">
        <v>1080</v>
      </c>
      <c r="E36" s="2" t="s">
        <v>1054</v>
      </c>
      <c r="F36" s="2" t="s">
        <v>1064</v>
      </c>
      <c r="G36" s="2" t="s">
        <v>88</v>
      </c>
      <c r="H36" s="2" t="s">
        <v>1025</v>
      </c>
      <c r="I36" s="2" t="s">
        <v>1034</v>
      </c>
      <c r="J36" s="2">
        <v>3337.9</v>
      </c>
      <c r="K36" s="2" t="s">
        <v>1055</v>
      </c>
      <c r="L36" s="2">
        <v>290629.5</v>
      </c>
      <c r="M36" s="2">
        <v>155.02000000000001</v>
      </c>
      <c r="N36" s="2">
        <v>0.61260000000000003</v>
      </c>
      <c r="O36" s="2">
        <v>64.89</v>
      </c>
      <c r="P36" s="2">
        <v>178.03960000000001</v>
      </c>
      <c r="Q36" s="2">
        <v>10.059200000000001</v>
      </c>
      <c r="R36" s="2">
        <v>188.09880000000001</v>
      </c>
      <c r="S36" s="2">
        <v>303912</v>
      </c>
      <c r="T36" s="2" t="s">
        <v>518</v>
      </c>
    </row>
    <row r="37" spans="1:20" x14ac:dyDescent="0.25">
      <c r="A37" s="3">
        <v>34</v>
      </c>
      <c r="B37" s="3">
        <v>2023</v>
      </c>
      <c r="C37" s="3" t="s">
        <v>32</v>
      </c>
      <c r="D37" s="3" t="s">
        <v>1081</v>
      </c>
      <c r="E37" s="3" t="s">
        <v>1050</v>
      </c>
      <c r="F37" s="3" t="s">
        <v>1033</v>
      </c>
      <c r="G37" s="3" t="s">
        <v>54</v>
      </c>
      <c r="H37" s="3" t="s">
        <v>1019</v>
      </c>
      <c r="I37" s="3" t="s">
        <v>1052</v>
      </c>
      <c r="J37" s="3">
        <v>4038.9</v>
      </c>
      <c r="K37" s="3" t="s">
        <v>1021</v>
      </c>
      <c r="L37" s="3">
        <v>372235.5</v>
      </c>
      <c r="M37" s="3">
        <v>187.1</v>
      </c>
      <c r="N37" s="3">
        <v>0.45900000000000002</v>
      </c>
      <c r="O37" s="3">
        <v>53.2</v>
      </c>
      <c r="P37" s="3">
        <v>170.8561</v>
      </c>
      <c r="Q37" s="3">
        <v>9.9536999999999995</v>
      </c>
      <c r="R37" s="3">
        <v>180.8098</v>
      </c>
      <c r="S37" s="3">
        <v>225343</v>
      </c>
      <c r="T37" s="3" t="s">
        <v>518</v>
      </c>
    </row>
    <row r="38" spans="1:20" x14ac:dyDescent="0.25">
      <c r="A38" s="2">
        <v>35</v>
      </c>
      <c r="B38" s="2">
        <v>2023</v>
      </c>
      <c r="C38" s="2" t="s">
        <v>39</v>
      </c>
      <c r="D38" s="2" t="s">
        <v>1082</v>
      </c>
      <c r="E38" s="2" t="s">
        <v>1028</v>
      </c>
      <c r="F38" s="2" t="s">
        <v>1083</v>
      </c>
      <c r="G38" s="2" t="s">
        <v>88</v>
      </c>
      <c r="H38" s="2" t="s">
        <v>1019</v>
      </c>
      <c r="I38" s="2" t="s">
        <v>1052</v>
      </c>
      <c r="J38" s="2">
        <v>2477.3000000000002</v>
      </c>
      <c r="K38" s="2" t="s">
        <v>1021</v>
      </c>
      <c r="L38" s="2">
        <v>187977.8</v>
      </c>
      <c r="M38" s="2">
        <v>189.74</v>
      </c>
      <c r="N38" s="2">
        <v>0.50819999999999999</v>
      </c>
      <c r="O38" s="2">
        <v>62.71</v>
      </c>
      <c r="P38" s="2">
        <v>95.530299999999997</v>
      </c>
      <c r="Q38" s="2">
        <v>11.8986</v>
      </c>
      <c r="R38" s="2">
        <v>107.4289</v>
      </c>
      <c r="S38" s="2">
        <v>440922</v>
      </c>
      <c r="T38" s="2" t="s">
        <v>512</v>
      </c>
    </row>
    <row r="39" spans="1:20" x14ac:dyDescent="0.25">
      <c r="A39" s="3">
        <v>36</v>
      </c>
      <c r="B39" s="3">
        <v>2023</v>
      </c>
      <c r="C39" s="3" t="s">
        <v>46</v>
      </c>
      <c r="D39" s="3" t="s">
        <v>1084</v>
      </c>
      <c r="E39" s="3" t="s">
        <v>1017</v>
      </c>
      <c r="F39" s="3" t="s">
        <v>1085</v>
      </c>
      <c r="G39" s="3" t="s">
        <v>117</v>
      </c>
      <c r="H39" s="3" t="s">
        <v>1025</v>
      </c>
      <c r="I39" s="3" t="s">
        <v>1020</v>
      </c>
      <c r="J39" s="3">
        <v>4115.8</v>
      </c>
      <c r="K39" s="3" t="s">
        <v>1021</v>
      </c>
      <c r="L39" s="3">
        <v>11516</v>
      </c>
      <c r="M39" s="3">
        <v>193.36</v>
      </c>
      <c r="N39" s="3">
        <v>0.65290000000000004</v>
      </c>
      <c r="O39" s="3">
        <v>75.239999999999995</v>
      </c>
      <c r="P39" s="3">
        <v>7.5187999999999997</v>
      </c>
      <c r="Q39" s="3">
        <v>14.548400000000001</v>
      </c>
      <c r="R39" s="3">
        <v>22.0672</v>
      </c>
      <c r="S39" s="3">
        <v>459554</v>
      </c>
      <c r="T39" s="3" t="s">
        <v>518</v>
      </c>
    </row>
    <row r="40" spans="1:20" x14ac:dyDescent="0.25">
      <c r="A40" s="2">
        <v>37</v>
      </c>
      <c r="B40" s="2">
        <v>2023</v>
      </c>
      <c r="C40" s="2" t="s">
        <v>22</v>
      </c>
      <c r="D40" s="2" t="s">
        <v>1086</v>
      </c>
      <c r="E40" s="2" t="s">
        <v>1050</v>
      </c>
      <c r="F40" s="2" t="s">
        <v>1029</v>
      </c>
      <c r="G40" s="2" t="s">
        <v>70</v>
      </c>
      <c r="H40" s="2" t="s">
        <v>1019</v>
      </c>
      <c r="I40" s="2" t="s">
        <v>1036</v>
      </c>
      <c r="J40" s="2">
        <v>1580.9</v>
      </c>
      <c r="K40" s="2" t="s">
        <v>1021</v>
      </c>
      <c r="L40" s="2">
        <v>479283.3</v>
      </c>
      <c r="M40" s="2">
        <v>72.569999999999993</v>
      </c>
      <c r="N40" s="2">
        <v>0.75609999999999999</v>
      </c>
      <c r="O40" s="2">
        <v>53.66</v>
      </c>
      <c r="P40" s="2">
        <v>362.3861</v>
      </c>
      <c r="Q40" s="2">
        <v>3.8940999999999999</v>
      </c>
      <c r="R40" s="2">
        <v>366.28019999999998</v>
      </c>
      <c r="S40" s="2">
        <v>226777</v>
      </c>
      <c r="T40" s="2" t="s">
        <v>512</v>
      </c>
    </row>
    <row r="41" spans="1:20" x14ac:dyDescent="0.25">
      <c r="A41" s="3">
        <v>38</v>
      </c>
      <c r="B41" s="3">
        <v>2023</v>
      </c>
      <c r="C41" s="3" t="s">
        <v>32</v>
      </c>
      <c r="D41" s="3" t="s">
        <v>1087</v>
      </c>
      <c r="E41" s="3" t="s">
        <v>1070</v>
      </c>
      <c r="F41" s="3" t="s">
        <v>1042</v>
      </c>
      <c r="G41" s="3" t="s">
        <v>92</v>
      </c>
      <c r="H41" s="3" t="s">
        <v>1019</v>
      </c>
      <c r="I41" s="3" t="s">
        <v>1065</v>
      </c>
      <c r="J41" s="3">
        <v>1539.4</v>
      </c>
      <c r="K41" s="3" t="s">
        <v>1021</v>
      </c>
      <c r="L41" s="3">
        <v>468224.9</v>
      </c>
      <c r="M41" s="3">
        <v>151.33000000000001</v>
      </c>
      <c r="N41" s="3">
        <v>0.49869999999999998</v>
      </c>
      <c r="O41" s="3">
        <v>75.78</v>
      </c>
      <c r="P41" s="3">
        <v>233.50380000000001</v>
      </c>
      <c r="Q41" s="3">
        <v>11.4678</v>
      </c>
      <c r="R41" s="3">
        <v>244.9716</v>
      </c>
      <c r="S41" s="3">
        <v>319363</v>
      </c>
      <c r="T41" s="3" t="s">
        <v>1022</v>
      </c>
    </row>
    <row r="42" spans="1:20" x14ac:dyDescent="0.25">
      <c r="A42" s="2">
        <v>39</v>
      </c>
      <c r="B42" s="2">
        <v>2023</v>
      </c>
      <c r="C42" s="2" t="s">
        <v>39</v>
      </c>
      <c r="D42" s="2" t="s">
        <v>1088</v>
      </c>
      <c r="E42" s="2" t="s">
        <v>1070</v>
      </c>
      <c r="F42" s="2" t="s">
        <v>1018</v>
      </c>
      <c r="G42" s="2" t="s">
        <v>54</v>
      </c>
      <c r="H42" s="2" t="s">
        <v>1030</v>
      </c>
      <c r="I42" s="2" t="s">
        <v>1020</v>
      </c>
      <c r="J42" s="2">
        <v>4338.8999999999996</v>
      </c>
      <c r="K42" s="2" t="s">
        <v>1021</v>
      </c>
      <c r="L42" s="2">
        <v>411775.7</v>
      </c>
      <c r="M42" s="2">
        <v>188.1</v>
      </c>
      <c r="N42" s="2">
        <v>0.58550000000000002</v>
      </c>
      <c r="O42" s="2">
        <v>62.39</v>
      </c>
      <c r="P42" s="2">
        <v>241.09469999999999</v>
      </c>
      <c r="Q42" s="2">
        <v>11.7356</v>
      </c>
      <c r="R42" s="2">
        <v>252.83029999999999</v>
      </c>
      <c r="S42" s="2">
        <v>216959</v>
      </c>
      <c r="T42" s="2" t="s">
        <v>1022</v>
      </c>
    </row>
    <row r="43" spans="1:20" x14ac:dyDescent="0.25">
      <c r="A43" s="3">
        <v>40</v>
      </c>
      <c r="B43" s="3">
        <v>2023</v>
      </c>
      <c r="C43" s="3" t="s">
        <v>46</v>
      </c>
      <c r="D43" s="3" t="s">
        <v>1089</v>
      </c>
      <c r="E43" s="3" t="s">
        <v>1070</v>
      </c>
      <c r="F43" s="3" t="s">
        <v>1029</v>
      </c>
      <c r="G43" s="3" t="s">
        <v>154</v>
      </c>
      <c r="H43" s="3" t="s">
        <v>1043</v>
      </c>
      <c r="I43" s="3" t="s">
        <v>1020</v>
      </c>
      <c r="J43" s="3">
        <v>2556.4</v>
      </c>
      <c r="K43" s="3" t="s">
        <v>1021</v>
      </c>
      <c r="L43" s="3">
        <v>176576.3</v>
      </c>
      <c r="M43" s="3">
        <v>120.42</v>
      </c>
      <c r="N43" s="3">
        <v>0.75670000000000004</v>
      </c>
      <c r="O43" s="3">
        <v>72.13</v>
      </c>
      <c r="P43" s="3">
        <v>133.61529999999999</v>
      </c>
      <c r="Q43" s="3">
        <v>8.6859000000000002</v>
      </c>
      <c r="R43" s="3">
        <v>142.30119999999999</v>
      </c>
      <c r="S43" s="3">
        <v>23402</v>
      </c>
      <c r="T43" s="3" t="s">
        <v>518</v>
      </c>
    </row>
    <row r="44" spans="1:20" x14ac:dyDescent="0.25">
      <c r="A44" s="2">
        <v>41</v>
      </c>
      <c r="B44" s="2">
        <v>2023</v>
      </c>
      <c r="C44" s="2" t="s">
        <v>22</v>
      </c>
      <c r="D44" s="2" t="s">
        <v>1090</v>
      </c>
      <c r="E44" s="2" t="s">
        <v>884</v>
      </c>
      <c r="F44" s="2" t="s">
        <v>1083</v>
      </c>
      <c r="G44" s="2" t="s">
        <v>65</v>
      </c>
      <c r="H44" s="2" t="s">
        <v>1030</v>
      </c>
      <c r="I44" s="2" t="s">
        <v>1039</v>
      </c>
      <c r="J44" s="2">
        <v>3169.3</v>
      </c>
      <c r="K44" s="2" t="s">
        <v>1021</v>
      </c>
      <c r="L44" s="2">
        <v>395718.6</v>
      </c>
      <c r="M44" s="2">
        <v>27.22</v>
      </c>
      <c r="N44" s="2">
        <v>0.55030000000000001</v>
      </c>
      <c r="O44" s="2">
        <v>68.849999999999994</v>
      </c>
      <c r="P44" s="2">
        <v>217.76390000000001</v>
      </c>
      <c r="Q44" s="2">
        <v>1.8741000000000001</v>
      </c>
      <c r="R44" s="2">
        <v>219.63800000000001</v>
      </c>
      <c r="S44" s="2">
        <v>50294</v>
      </c>
      <c r="T44" s="2" t="s">
        <v>518</v>
      </c>
    </row>
    <row r="45" spans="1:20" x14ac:dyDescent="0.25">
      <c r="A45" s="3">
        <v>42</v>
      </c>
      <c r="B45" s="3">
        <v>2023</v>
      </c>
      <c r="C45" s="3" t="s">
        <v>32</v>
      </c>
      <c r="D45" s="3" t="s">
        <v>1091</v>
      </c>
      <c r="E45" s="3" t="s">
        <v>884</v>
      </c>
      <c r="F45" s="3" t="s">
        <v>1051</v>
      </c>
      <c r="G45" s="3" t="s">
        <v>54</v>
      </c>
      <c r="H45" s="3" t="s">
        <v>1019</v>
      </c>
      <c r="I45" s="3" t="s">
        <v>1052</v>
      </c>
      <c r="J45" s="3">
        <v>4242.5</v>
      </c>
      <c r="K45" s="3" t="s">
        <v>1021</v>
      </c>
      <c r="L45" s="3">
        <v>343190.9</v>
      </c>
      <c r="M45" s="3">
        <v>158.53</v>
      </c>
      <c r="N45" s="3">
        <v>0.50970000000000004</v>
      </c>
      <c r="O45" s="3">
        <v>64.349999999999994</v>
      </c>
      <c r="P45" s="3">
        <v>174.92439999999999</v>
      </c>
      <c r="Q45" s="3">
        <v>10.2014</v>
      </c>
      <c r="R45" s="3">
        <v>185.1258</v>
      </c>
      <c r="S45" s="3">
        <v>95005</v>
      </c>
      <c r="T45" s="3" t="s">
        <v>512</v>
      </c>
    </row>
    <row r="46" spans="1:20" x14ac:dyDescent="0.25">
      <c r="A46" s="2">
        <v>43</v>
      </c>
      <c r="B46" s="2">
        <v>2023</v>
      </c>
      <c r="C46" s="2" t="s">
        <v>39</v>
      </c>
      <c r="D46" s="2" t="s">
        <v>1092</v>
      </c>
      <c r="E46" s="2" t="s">
        <v>1070</v>
      </c>
      <c r="F46" s="2" t="s">
        <v>1029</v>
      </c>
      <c r="G46" s="2" t="s">
        <v>70</v>
      </c>
      <c r="H46" s="2" t="s">
        <v>1057</v>
      </c>
      <c r="I46" s="2" t="s">
        <v>1034</v>
      </c>
      <c r="J46" s="2">
        <v>1033.4000000000001</v>
      </c>
      <c r="K46" s="2" t="s">
        <v>1021</v>
      </c>
      <c r="L46" s="2">
        <v>207833.7</v>
      </c>
      <c r="M46" s="2">
        <v>36.380000000000003</v>
      </c>
      <c r="N46" s="2">
        <v>0.78820000000000001</v>
      </c>
      <c r="O46" s="2">
        <v>78.34</v>
      </c>
      <c r="P46" s="2">
        <v>163.81450000000001</v>
      </c>
      <c r="Q46" s="2">
        <v>2.85</v>
      </c>
      <c r="R46" s="2">
        <v>166.6645</v>
      </c>
      <c r="S46" s="2">
        <v>20160</v>
      </c>
      <c r="T46" s="2" t="s">
        <v>518</v>
      </c>
    </row>
    <row r="47" spans="1:20" x14ac:dyDescent="0.25">
      <c r="A47" s="3">
        <v>44</v>
      </c>
      <c r="B47" s="3">
        <v>2023</v>
      </c>
      <c r="C47" s="3" t="s">
        <v>46</v>
      </c>
      <c r="D47" s="3" t="s">
        <v>1093</v>
      </c>
      <c r="E47" s="3" t="s">
        <v>1041</v>
      </c>
      <c r="F47" s="3" t="s">
        <v>1042</v>
      </c>
      <c r="G47" s="3" t="s">
        <v>58</v>
      </c>
      <c r="H47" s="3" t="s">
        <v>1019</v>
      </c>
      <c r="I47" s="3" t="s">
        <v>1026</v>
      </c>
      <c r="J47" s="3">
        <v>3151.8</v>
      </c>
      <c r="K47" s="3" t="s">
        <v>1021</v>
      </c>
      <c r="L47" s="3">
        <v>453515.5</v>
      </c>
      <c r="M47" s="3">
        <v>194.83</v>
      </c>
      <c r="N47" s="3">
        <v>0.4491</v>
      </c>
      <c r="O47" s="3">
        <v>71.040000000000006</v>
      </c>
      <c r="P47" s="3">
        <v>203.6738</v>
      </c>
      <c r="Q47" s="3">
        <v>13.8407</v>
      </c>
      <c r="R47" s="3">
        <v>217.5145</v>
      </c>
      <c r="S47" s="3">
        <v>206507</v>
      </c>
      <c r="T47" s="3" t="s">
        <v>512</v>
      </c>
    </row>
    <row r="48" spans="1:20" x14ac:dyDescent="0.25">
      <c r="A48" s="2">
        <v>45</v>
      </c>
      <c r="B48" s="2">
        <v>2023</v>
      </c>
      <c r="C48" s="2" t="s">
        <v>22</v>
      </c>
      <c r="D48" s="2" t="s">
        <v>1094</v>
      </c>
      <c r="E48" s="2" t="s">
        <v>884</v>
      </c>
      <c r="F48" s="2" t="s">
        <v>1024</v>
      </c>
      <c r="G48" s="2" t="s">
        <v>54</v>
      </c>
      <c r="H48" s="2" t="s">
        <v>1043</v>
      </c>
      <c r="I48" s="2" t="s">
        <v>1036</v>
      </c>
      <c r="J48" s="2">
        <v>490.9</v>
      </c>
      <c r="K48" s="2" t="s">
        <v>1021</v>
      </c>
      <c r="L48" s="2">
        <v>184592.2</v>
      </c>
      <c r="M48" s="2">
        <v>189.45</v>
      </c>
      <c r="N48" s="2">
        <v>0.40870000000000001</v>
      </c>
      <c r="O48" s="2">
        <v>71.56</v>
      </c>
      <c r="P48" s="2">
        <v>75.442800000000005</v>
      </c>
      <c r="Q48" s="2">
        <v>13.557</v>
      </c>
      <c r="R48" s="2">
        <v>88.999799999999993</v>
      </c>
      <c r="S48" s="2">
        <v>460795</v>
      </c>
      <c r="T48" s="2" t="s">
        <v>518</v>
      </c>
    </row>
    <row r="49" spans="1:20" x14ac:dyDescent="0.25">
      <c r="A49" s="3">
        <v>46</v>
      </c>
      <c r="B49" s="3">
        <v>2023</v>
      </c>
      <c r="C49" s="3" t="s">
        <v>32</v>
      </c>
      <c r="D49" s="3" t="s">
        <v>1095</v>
      </c>
      <c r="E49" s="3" t="s">
        <v>1046</v>
      </c>
      <c r="F49" s="3" t="s">
        <v>1083</v>
      </c>
      <c r="G49" s="3" t="s">
        <v>33</v>
      </c>
      <c r="H49" s="3" t="s">
        <v>1030</v>
      </c>
      <c r="I49" s="3" t="s">
        <v>1020</v>
      </c>
      <c r="J49" s="3">
        <v>636.6</v>
      </c>
      <c r="K49" s="3" t="s">
        <v>1021</v>
      </c>
      <c r="L49" s="3">
        <v>357068.3</v>
      </c>
      <c r="M49" s="3">
        <v>38.11</v>
      </c>
      <c r="N49" s="3">
        <v>0.78100000000000003</v>
      </c>
      <c r="O49" s="3">
        <v>73.459999999999994</v>
      </c>
      <c r="P49" s="3">
        <v>278.87029999999999</v>
      </c>
      <c r="Q49" s="3">
        <v>2.7995999999999999</v>
      </c>
      <c r="R49" s="3">
        <v>281.66989999999998</v>
      </c>
      <c r="S49" s="3">
        <v>252142</v>
      </c>
      <c r="T49" s="3" t="s">
        <v>1022</v>
      </c>
    </row>
    <row r="50" spans="1:20" x14ac:dyDescent="0.25">
      <c r="A50" s="2">
        <v>47</v>
      </c>
      <c r="B50" s="2">
        <v>2023</v>
      </c>
      <c r="C50" s="2" t="s">
        <v>39</v>
      </c>
      <c r="D50" s="2" t="s">
        <v>1096</v>
      </c>
      <c r="E50" s="2" t="s">
        <v>1041</v>
      </c>
      <c r="F50" s="2" t="s">
        <v>1033</v>
      </c>
      <c r="G50" s="2" t="s">
        <v>65</v>
      </c>
      <c r="H50" s="2" t="s">
        <v>1019</v>
      </c>
      <c r="I50" s="2" t="s">
        <v>1026</v>
      </c>
      <c r="J50" s="2">
        <v>1117.0999999999999</v>
      </c>
      <c r="K50" s="2" t="s">
        <v>1021</v>
      </c>
      <c r="L50" s="2">
        <v>412220.4</v>
      </c>
      <c r="M50" s="2">
        <v>145.34</v>
      </c>
      <c r="N50" s="2">
        <v>0.44469999999999998</v>
      </c>
      <c r="O50" s="2">
        <v>55.41</v>
      </c>
      <c r="P50" s="2">
        <v>183.31440000000001</v>
      </c>
      <c r="Q50" s="2">
        <v>8.0533000000000001</v>
      </c>
      <c r="R50" s="2">
        <v>191.36770000000001</v>
      </c>
      <c r="S50" s="2">
        <v>152195</v>
      </c>
      <c r="T50" s="2" t="s">
        <v>518</v>
      </c>
    </row>
    <row r="51" spans="1:20" x14ac:dyDescent="0.25">
      <c r="A51" s="3">
        <v>48</v>
      </c>
      <c r="B51" s="3">
        <v>2023</v>
      </c>
      <c r="C51" s="3" t="s">
        <v>46</v>
      </c>
      <c r="D51" s="3" t="s">
        <v>1097</v>
      </c>
      <c r="E51" s="3" t="s">
        <v>1046</v>
      </c>
      <c r="F51" s="3" t="s">
        <v>1042</v>
      </c>
      <c r="G51" s="3" t="s">
        <v>154</v>
      </c>
      <c r="H51" s="3" t="s">
        <v>1019</v>
      </c>
      <c r="I51" s="3" t="s">
        <v>1036</v>
      </c>
      <c r="J51" s="3">
        <v>4541.3</v>
      </c>
      <c r="K51" s="3" t="s">
        <v>1021</v>
      </c>
      <c r="L51" s="3">
        <v>185449.2</v>
      </c>
      <c r="M51" s="3">
        <v>136.85</v>
      </c>
      <c r="N51" s="3">
        <v>0.57909999999999995</v>
      </c>
      <c r="O51" s="3">
        <v>50.31</v>
      </c>
      <c r="P51" s="3">
        <v>107.39360000000001</v>
      </c>
      <c r="Q51" s="3">
        <v>6.8849</v>
      </c>
      <c r="R51" s="3">
        <v>114.27849999999999</v>
      </c>
      <c r="S51" s="3">
        <v>168391</v>
      </c>
      <c r="T51" s="3" t="s">
        <v>1022</v>
      </c>
    </row>
    <row r="52" spans="1:20" ht="24" x14ac:dyDescent="0.25">
      <c r="A52" s="2">
        <v>49</v>
      </c>
      <c r="B52" s="2">
        <v>2023</v>
      </c>
      <c r="C52" s="2" t="s">
        <v>22</v>
      </c>
      <c r="D52" s="2" t="s">
        <v>1098</v>
      </c>
      <c r="E52" s="2" t="s">
        <v>1050</v>
      </c>
      <c r="F52" s="2" t="s">
        <v>1064</v>
      </c>
      <c r="G52" s="2" t="s">
        <v>58</v>
      </c>
      <c r="H52" s="2" t="s">
        <v>1030</v>
      </c>
      <c r="I52" s="2" t="s">
        <v>1034</v>
      </c>
      <c r="J52" s="2">
        <v>3556.8</v>
      </c>
      <c r="K52" s="2" t="s">
        <v>1021</v>
      </c>
      <c r="L52" s="2">
        <v>368315.9</v>
      </c>
      <c r="M52" s="2">
        <v>51.25</v>
      </c>
      <c r="N52" s="2">
        <v>0.39760000000000001</v>
      </c>
      <c r="O52" s="2">
        <v>51.76</v>
      </c>
      <c r="P52" s="2">
        <v>146.44239999999999</v>
      </c>
      <c r="Q52" s="2">
        <v>2.6526999999999998</v>
      </c>
      <c r="R52" s="2">
        <v>149.0951</v>
      </c>
      <c r="S52" s="2">
        <v>240757</v>
      </c>
      <c r="T52" s="2" t="s">
        <v>518</v>
      </c>
    </row>
    <row r="53" spans="1:20" x14ac:dyDescent="0.25">
      <c r="A53" s="3">
        <v>50</v>
      </c>
      <c r="B53" s="3">
        <v>2023</v>
      </c>
      <c r="C53" s="3" t="s">
        <v>32</v>
      </c>
      <c r="D53" s="3" t="s">
        <v>1099</v>
      </c>
      <c r="E53" s="3" t="s">
        <v>1041</v>
      </c>
      <c r="F53" s="3" t="s">
        <v>1059</v>
      </c>
      <c r="G53" s="3" t="s">
        <v>120</v>
      </c>
      <c r="H53" s="3" t="s">
        <v>1043</v>
      </c>
      <c r="I53" s="3" t="s">
        <v>1020</v>
      </c>
      <c r="J53" s="3">
        <v>3562.4</v>
      </c>
      <c r="K53" s="3" t="s">
        <v>1021</v>
      </c>
      <c r="L53" s="3">
        <v>405116.6</v>
      </c>
      <c r="M53" s="3">
        <v>1.07</v>
      </c>
      <c r="N53" s="3">
        <v>0.60229999999999995</v>
      </c>
      <c r="O53" s="3">
        <v>61.43</v>
      </c>
      <c r="P53" s="3">
        <v>244.0017</v>
      </c>
      <c r="Q53" s="3">
        <v>6.5699999999999995E-2</v>
      </c>
      <c r="R53" s="3">
        <v>244.06739999999999</v>
      </c>
      <c r="S53" s="3">
        <v>191742</v>
      </c>
      <c r="T53" s="3" t="s">
        <v>518</v>
      </c>
    </row>
    <row r="54" spans="1:20" x14ac:dyDescent="0.25">
      <c r="A54" s="2">
        <v>51</v>
      </c>
      <c r="B54" s="2">
        <v>2023</v>
      </c>
      <c r="C54" s="2" t="s">
        <v>39</v>
      </c>
      <c r="D54" s="2" t="s">
        <v>1100</v>
      </c>
      <c r="E54" s="2" t="s">
        <v>884</v>
      </c>
      <c r="F54" s="2" t="s">
        <v>1083</v>
      </c>
      <c r="G54" s="2" t="s">
        <v>117</v>
      </c>
      <c r="H54" s="2" t="s">
        <v>1030</v>
      </c>
      <c r="I54" s="2" t="s">
        <v>1020</v>
      </c>
      <c r="J54" s="2">
        <v>1338.4</v>
      </c>
      <c r="K54" s="2" t="s">
        <v>1021</v>
      </c>
      <c r="L54" s="2">
        <v>252369.6</v>
      </c>
      <c r="M54" s="2">
        <v>186.07</v>
      </c>
      <c r="N54" s="2">
        <v>0.78890000000000005</v>
      </c>
      <c r="O54" s="2">
        <v>53.96</v>
      </c>
      <c r="P54" s="2">
        <v>199.09440000000001</v>
      </c>
      <c r="Q54" s="2">
        <v>10.0403</v>
      </c>
      <c r="R54" s="2">
        <v>209.13470000000001</v>
      </c>
      <c r="S54" s="2">
        <v>269908</v>
      </c>
      <c r="T54" s="2" t="s">
        <v>1022</v>
      </c>
    </row>
    <row r="55" spans="1:20" x14ac:dyDescent="0.25">
      <c r="A55" s="3">
        <v>52</v>
      </c>
      <c r="B55" s="3">
        <v>2023</v>
      </c>
      <c r="C55" s="3" t="s">
        <v>46</v>
      </c>
      <c r="D55" s="3" t="s">
        <v>1101</v>
      </c>
      <c r="E55" s="3" t="s">
        <v>1017</v>
      </c>
      <c r="F55" s="3" t="s">
        <v>1033</v>
      </c>
      <c r="G55" s="3" t="s">
        <v>58</v>
      </c>
      <c r="H55" s="3" t="s">
        <v>1043</v>
      </c>
      <c r="I55" s="3" t="s">
        <v>1052</v>
      </c>
      <c r="J55" s="3">
        <v>268.60000000000002</v>
      </c>
      <c r="K55" s="3" t="s">
        <v>1021</v>
      </c>
      <c r="L55" s="3">
        <v>64807.9</v>
      </c>
      <c r="M55" s="3">
        <v>174.34</v>
      </c>
      <c r="N55" s="3">
        <v>0.76739999999999997</v>
      </c>
      <c r="O55" s="3">
        <v>72.430000000000007</v>
      </c>
      <c r="P55" s="3">
        <v>49.733600000000003</v>
      </c>
      <c r="Q55" s="3">
        <v>12.6274</v>
      </c>
      <c r="R55" s="3">
        <v>62.360999999999997</v>
      </c>
      <c r="S55" s="3">
        <v>452368</v>
      </c>
      <c r="T55" s="3" t="s">
        <v>512</v>
      </c>
    </row>
    <row r="56" spans="1:20" x14ac:dyDescent="0.25">
      <c r="A56" s="2">
        <v>53</v>
      </c>
      <c r="B56" s="2">
        <v>2023</v>
      </c>
      <c r="C56" s="2" t="s">
        <v>22</v>
      </c>
      <c r="D56" s="2" t="s">
        <v>1102</v>
      </c>
      <c r="E56" s="2" t="s">
        <v>1054</v>
      </c>
      <c r="F56" s="2" t="s">
        <v>1024</v>
      </c>
      <c r="G56" s="2" t="s">
        <v>120</v>
      </c>
      <c r="H56" s="2" t="s">
        <v>1019</v>
      </c>
      <c r="I56" s="2" t="s">
        <v>1039</v>
      </c>
      <c r="J56" s="2">
        <v>1599.4</v>
      </c>
      <c r="K56" s="2" t="s">
        <v>1055</v>
      </c>
      <c r="L56" s="2">
        <v>446443.2</v>
      </c>
      <c r="M56" s="2">
        <v>63.11</v>
      </c>
      <c r="N56" s="2">
        <v>0.84730000000000005</v>
      </c>
      <c r="O56" s="2">
        <v>72.91</v>
      </c>
      <c r="P56" s="2">
        <v>378.2713</v>
      </c>
      <c r="Q56" s="2">
        <v>4.6013999999999999</v>
      </c>
      <c r="R56" s="2">
        <v>382.87270000000001</v>
      </c>
      <c r="S56" s="2">
        <v>427986</v>
      </c>
      <c r="T56" s="2" t="s">
        <v>1022</v>
      </c>
    </row>
    <row r="57" spans="1:20" ht="24" x14ac:dyDescent="0.25">
      <c r="A57" s="3">
        <v>54</v>
      </c>
      <c r="B57" s="3">
        <v>2023</v>
      </c>
      <c r="C57" s="3" t="s">
        <v>32</v>
      </c>
      <c r="D57" s="3" t="s">
        <v>1103</v>
      </c>
      <c r="E57" s="3" t="s">
        <v>884</v>
      </c>
      <c r="F57" s="3" t="s">
        <v>1064</v>
      </c>
      <c r="G57" s="3" t="s">
        <v>96</v>
      </c>
      <c r="H57" s="3" t="s">
        <v>1025</v>
      </c>
      <c r="I57" s="3" t="s">
        <v>1065</v>
      </c>
      <c r="J57" s="3">
        <v>320.10000000000002</v>
      </c>
      <c r="K57" s="3" t="s">
        <v>1021</v>
      </c>
      <c r="L57" s="3">
        <v>92387.5</v>
      </c>
      <c r="M57" s="3">
        <v>94.05</v>
      </c>
      <c r="N57" s="3">
        <v>0.43180000000000002</v>
      </c>
      <c r="O57" s="3">
        <v>64.010000000000005</v>
      </c>
      <c r="P57" s="3">
        <v>39.892899999999997</v>
      </c>
      <c r="Q57" s="3">
        <v>6.0201000000000002</v>
      </c>
      <c r="R57" s="3">
        <v>45.912999999999997</v>
      </c>
      <c r="S57" s="3">
        <v>29988</v>
      </c>
      <c r="T57" s="3" t="s">
        <v>518</v>
      </c>
    </row>
    <row r="58" spans="1:20" x14ac:dyDescent="0.25">
      <c r="A58" s="2">
        <v>55</v>
      </c>
      <c r="B58" s="2">
        <v>2023</v>
      </c>
      <c r="C58" s="2" t="s">
        <v>39</v>
      </c>
      <c r="D58" s="2" t="s">
        <v>1104</v>
      </c>
      <c r="E58" s="2" t="s">
        <v>1046</v>
      </c>
      <c r="F58" s="2" t="s">
        <v>1083</v>
      </c>
      <c r="G58" s="2" t="s">
        <v>96</v>
      </c>
      <c r="H58" s="2" t="s">
        <v>1019</v>
      </c>
      <c r="I58" s="2" t="s">
        <v>1036</v>
      </c>
      <c r="J58" s="2">
        <v>2315.9</v>
      </c>
      <c r="K58" s="2" t="s">
        <v>1021</v>
      </c>
      <c r="L58" s="2">
        <v>57133</v>
      </c>
      <c r="M58" s="2">
        <v>143.94999999999999</v>
      </c>
      <c r="N58" s="2">
        <v>0.42399999999999999</v>
      </c>
      <c r="O58" s="2">
        <v>60.49</v>
      </c>
      <c r="P58" s="2">
        <v>24.224399999999999</v>
      </c>
      <c r="Q58" s="2">
        <v>8.7074999999999996</v>
      </c>
      <c r="R58" s="2">
        <v>32.931899999999999</v>
      </c>
      <c r="S58" s="2">
        <v>149217</v>
      </c>
      <c r="T58" s="2" t="s">
        <v>518</v>
      </c>
    </row>
    <row r="59" spans="1:20" x14ac:dyDescent="0.25">
      <c r="A59" s="3">
        <v>56</v>
      </c>
      <c r="B59" s="3">
        <v>2023</v>
      </c>
      <c r="C59" s="3" t="s">
        <v>46</v>
      </c>
      <c r="D59" s="3" t="s">
        <v>1105</v>
      </c>
      <c r="E59" s="3" t="s">
        <v>1070</v>
      </c>
      <c r="F59" s="3" t="s">
        <v>1018</v>
      </c>
      <c r="G59" s="3" t="s">
        <v>65</v>
      </c>
      <c r="H59" s="3" t="s">
        <v>1057</v>
      </c>
      <c r="I59" s="3" t="s">
        <v>1034</v>
      </c>
      <c r="J59" s="3">
        <v>2838.1</v>
      </c>
      <c r="K59" s="3" t="s">
        <v>1021</v>
      </c>
      <c r="L59" s="3">
        <v>331905.7</v>
      </c>
      <c r="M59" s="3">
        <v>42.48</v>
      </c>
      <c r="N59" s="3">
        <v>0.84899999999999998</v>
      </c>
      <c r="O59" s="3">
        <v>50.12</v>
      </c>
      <c r="P59" s="3">
        <v>281.78789999999998</v>
      </c>
      <c r="Q59" s="3">
        <v>2.1291000000000002</v>
      </c>
      <c r="R59" s="3">
        <v>283.91699999999997</v>
      </c>
      <c r="S59" s="3">
        <v>214045</v>
      </c>
      <c r="T59" s="3" t="s">
        <v>512</v>
      </c>
    </row>
    <row r="60" spans="1:20" x14ac:dyDescent="0.25">
      <c r="A60" s="2">
        <v>57</v>
      </c>
      <c r="B60" s="2">
        <v>2023</v>
      </c>
      <c r="C60" s="2" t="s">
        <v>22</v>
      </c>
      <c r="D60" s="2" t="s">
        <v>1106</v>
      </c>
      <c r="E60" s="2" t="s">
        <v>1032</v>
      </c>
      <c r="F60" s="2" t="s">
        <v>1083</v>
      </c>
      <c r="G60" s="2" t="s">
        <v>120</v>
      </c>
      <c r="H60" s="2" t="s">
        <v>1057</v>
      </c>
      <c r="I60" s="2" t="s">
        <v>1026</v>
      </c>
      <c r="J60" s="2">
        <v>4442.5</v>
      </c>
      <c r="K60" s="2" t="s">
        <v>1021</v>
      </c>
      <c r="L60" s="2">
        <v>13955.1</v>
      </c>
      <c r="M60" s="2">
        <v>136.26</v>
      </c>
      <c r="N60" s="2">
        <v>0.69030000000000002</v>
      </c>
      <c r="O60" s="2">
        <v>61.83</v>
      </c>
      <c r="P60" s="2">
        <v>9.6332000000000004</v>
      </c>
      <c r="Q60" s="2">
        <v>8.4250000000000007</v>
      </c>
      <c r="R60" s="2">
        <v>18.058199999999999</v>
      </c>
      <c r="S60" s="2">
        <v>420119</v>
      </c>
      <c r="T60" s="2" t="s">
        <v>1022</v>
      </c>
    </row>
    <row r="61" spans="1:20" x14ac:dyDescent="0.25">
      <c r="A61" s="3">
        <v>58</v>
      </c>
      <c r="B61" s="3">
        <v>2023</v>
      </c>
      <c r="C61" s="3" t="s">
        <v>32</v>
      </c>
      <c r="D61" s="3" t="s">
        <v>1107</v>
      </c>
      <c r="E61" s="3" t="s">
        <v>1046</v>
      </c>
      <c r="F61" s="3" t="s">
        <v>1051</v>
      </c>
      <c r="G61" s="3" t="s">
        <v>204</v>
      </c>
      <c r="H61" s="3" t="s">
        <v>1025</v>
      </c>
      <c r="I61" s="3" t="s">
        <v>1052</v>
      </c>
      <c r="J61" s="3">
        <v>4162</v>
      </c>
      <c r="K61" s="3" t="s">
        <v>1021</v>
      </c>
      <c r="L61" s="3">
        <v>330110.09999999998</v>
      </c>
      <c r="M61" s="3">
        <v>90.81</v>
      </c>
      <c r="N61" s="3">
        <v>0.8276</v>
      </c>
      <c r="O61" s="3">
        <v>67.83</v>
      </c>
      <c r="P61" s="3">
        <v>273.19909999999999</v>
      </c>
      <c r="Q61" s="3">
        <v>6.1596000000000002</v>
      </c>
      <c r="R61" s="3">
        <v>279.3587</v>
      </c>
      <c r="S61" s="3">
        <v>485188</v>
      </c>
      <c r="T61" s="3" t="s">
        <v>512</v>
      </c>
    </row>
    <row r="62" spans="1:20" x14ac:dyDescent="0.25">
      <c r="A62" s="2">
        <v>59</v>
      </c>
      <c r="B62" s="2">
        <v>2023</v>
      </c>
      <c r="C62" s="2" t="s">
        <v>39</v>
      </c>
      <c r="D62" s="2" t="s">
        <v>1108</v>
      </c>
      <c r="E62" s="2" t="s">
        <v>1041</v>
      </c>
      <c r="F62" s="2" t="s">
        <v>1042</v>
      </c>
      <c r="G62" s="2" t="s">
        <v>24</v>
      </c>
      <c r="H62" s="2" t="s">
        <v>1025</v>
      </c>
      <c r="I62" s="2" t="s">
        <v>1039</v>
      </c>
      <c r="J62" s="2">
        <v>690.1</v>
      </c>
      <c r="K62" s="2" t="s">
        <v>1021</v>
      </c>
      <c r="L62" s="2">
        <v>431776.1</v>
      </c>
      <c r="M62" s="2">
        <v>160.31</v>
      </c>
      <c r="N62" s="2">
        <v>0.49149999999999999</v>
      </c>
      <c r="O62" s="2">
        <v>73.94</v>
      </c>
      <c r="P62" s="2">
        <v>212.21799999999999</v>
      </c>
      <c r="Q62" s="2">
        <v>11.853300000000001</v>
      </c>
      <c r="R62" s="2">
        <v>224.07130000000001</v>
      </c>
      <c r="S62" s="2">
        <v>476431</v>
      </c>
      <c r="T62" s="2" t="s">
        <v>512</v>
      </c>
    </row>
    <row r="63" spans="1:20" x14ac:dyDescent="0.25">
      <c r="A63" s="3">
        <v>60</v>
      </c>
      <c r="B63" s="3">
        <v>2023</v>
      </c>
      <c r="C63" s="3" t="s">
        <v>46</v>
      </c>
      <c r="D63" s="3" t="s">
        <v>1109</v>
      </c>
      <c r="E63" s="3" t="s">
        <v>1070</v>
      </c>
      <c r="F63" s="3" t="s">
        <v>1033</v>
      </c>
      <c r="G63" s="3" t="s">
        <v>154</v>
      </c>
      <c r="H63" s="3" t="s">
        <v>1019</v>
      </c>
      <c r="I63" s="3" t="s">
        <v>1065</v>
      </c>
      <c r="J63" s="3">
        <v>931.2</v>
      </c>
      <c r="K63" s="3" t="s">
        <v>1021</v>
      </c>
      <c r="L63" s="3">
        <v>482559.6</v>
      </c>
      <c r="M63" s="3">
        <v>173.1</v>
      </c>
      <c r="N63" s="3">
        <v>0.39460000000000001</v>
      </c>
      <c r="O63" s="3">
        <v>75.569999999999993</v>
      </c>
      <c r="P63" s="3">
        <v>190.41800000000001</v>
      </c>
      <c r="Q63" s="3">
        <v>13.081200000000001</v>
      </c>
      <c r="R63" s="3">
        <v>203.4992</v>
      </c>
      <c r="S63" s="3">
        <v>391951</v>
      </c>
      <c r="T63" s="3" t="s">
        <v>518</v>
      </c>
    </row>
    <row r="64" spans="1:20" x14ac:dyDescent="0.25">
      <c r="A64" s="2">
        <v>61</v>
      </c>
      <c r="B64" s="2">
        <v>2023</v>
      </c>
      <c r="C64" s="2" t="s">
        <v>22</v>
      </c>
      <c r="D64" s="2" t="s">
        <v>1110</v>
      </c>
      <c r="E64" s="2" t="s">
        <v>884</v>
      </c>
      <c r="F64" s="2" t="s">
        <v>1018</v>
      </c>
      <c r="G64" s="2" t="s">
        <v>54</v>
      </c>
      <c r="H64" s="2" t="s">
        <v>1057</v>
      </c>
      <c r="I64" s="2" t="s">
        <v>1034</v>
      </c>
      <c r="J64" s="2">
        <v>647</v>
      </c>
      <c r="K64" s="2" t="s">
        <v>1021</v>
      </c>
      <c r="L64" s="2">
        <v>245931.7</v>
      </c>
      <c r="M64" s="2">
        <v>86.47</v>
      </c>
      <c r="N64" s="2">
        <v>0.75319999999999998</v>
      </c>
      <c r="O64" s="2">
        <v>59.3</v>
      </c>
      <c r="P64" s="2">
        <v>185.23580000000001</v>
      </c>
      <c r="Q64" s="2">
        <v>5.1276999999999999</v>
      </c>
      <c r="R64" s="2">
        <v>190.36349999999999</v>
      </c>
      <c r="S64" s="2">
        <v>185932</v>
      </c>
      <c r="T64" s="2" t="s">
        <v>512</v>
      </c>
    </row>
    <row r="65" spans="1:20" ht="24" x14ac:dyDescent="0.25">
      <c r="A65" s="3">
        <v>62</v>
      </c>
      <c r="B65" s="3">
        <v>2023</v>
      </c>
      <c r="C65" s="3" t="s">
        <v>32</v>
      </c>
      <c r="D65" s="3" t="s">
        <v>1111</v>
      </c>
      <c r="E65" s="3" t="s">
        <v>1054</v>
      </c>
      <c r="F65" s="3" t="s">
        <v>1064</v>
      </c>
      <c r="G65" s="3" t="s">
        <v>58</v>
      </c>
      <c r="H65" s="3" t="s">
        <v>1025</v>
      </c>
      <c r="I65" s="3" t="s">
        <v>1036</v>
      </c>
      <c r="J65" s="3">
        <v>1039.4000000000001</v>
      </c>
      <c r="K65" s="3" t="s">
        <v>1055</v>
      </c>
      <c r="L65" s="3">
        <v>223275.8</v>
      </c>
      <c r="M65" s="3">
        <v>77.62</v>
      </c>
      <c r="N65" s="3">
        <v>0.48420000000000002</v>
      </c>
      <c r="O65" s="3">
        <v>68.010000000000005</v>
      </c>
      <c r="P65" s="3">
        <v>108.1101</v>
      </c>
      <c r="Q65" s="3">
        <v>5.2789000000000001</v>
      </c>
      <c r="R65" s="3">
        <v>113.389</v>
      </c>
      <c r="S65" s="3">
        <v>217043</v>
      </c>
      <c r="T65" s="3" t="s">
        <v>1022</v>
      </c>
    </row>
    <row r="66" spans="1:20" x14ac:dyDescent="0.25">
      <c r="A66" s="2">
        <v>63</v>
      </c>
      <c r="B66" s="2">
        <v>2023</v>
      </c>
      <c r="C66" s="2" t="s">
        <v>39</v>
      </c>
      <c r="D66" s="2" t="s">
        <v>1112</v>
      </c>
      <c r="E66" s="2" t="s">
        <v>1050</v>
      </c>
      <c r="F66" s="2" t="s">
        <v>1059</v>
      </c>
      <c r="G66" s="2" t="s">
        <v>24</v>
      </c>
      <c r="H66" s="2" t="s">
        <v>1019</v>
      </c>
      <c r="I66" s="2" t="s">
        <v>1065</v>
      </c>
      <c r="J66" s="2">
        <v>3171.9</v>
      </c>
      <c r="K66" s="2" t="s">
        <v>1021</v>
      </c>
      <c r="L66" s="2">
        <v>47380.800000000003</v>
      </c>
      <c r="M66" s="2">
        <v>102.67</v>
      </c>
      <c r="N66" s="2">
        <v>0.83660000000000001</v>
      </c>
      <c r="O66" s="2">
        <v>70.290000000000006</v>
      </c>
      <c r="P66" s="2">
        <v>39.638800000000003</v>
      </c>
      <c r="Q66" s="2">
        <v>7.2167000000000003</v>
      </c>
      <c r="R66" s="2">
        <v>46.855499999999999</v>
      </c>
      <c r="S66" s="2">
        <v>268367</v>
      </c>
      <c r="T66" s="2" t="s">
        <v>512</v>
      </c>
    </row>
    <row r="67" spans="1:20" x14ac:dyDescent="0.25">
      <c r="A67" s="3">
        <v>64</v>
      </c>
      <c r="B67" s="3">
        <v>2023</v>
      </c>
      <c r="C67" s="3" t="s">
        <v>46</v>
      </c>
      <c r="D67" s="3" t="s">
        <v>1113</v>
      </c>
      <c r="E67" s="3" t="s">
        <v>1046</v>
      </c>
      <c r="F67" s="3" t="s">
        <v>1042</v>
      </c>
      <c r="G67" s="3" t="s">
        <v>117</v>
      </c>
      <c r="H67" s="3" t="s">
        <v>1030</v>
      </c>
      <c r="I67" s="3" t="s">
        <v>1036</v>
      </c>
      <c r="J67" s="3">
        <v>2214.9</v>
      </c>
      <c r="K67" s="3" t="s">
        <v>1021</v>
      </c>
      <c r="L67" s="3">
        <v>453696.6</v>
      </c>
      <c r="M67" s="3">
        <v>95.52</v>
      </c>
      <c r="N67" s="3">
        <v>0.42430000000000001</v>
      </c>
      <c r="O67" s="3">
        <v>53.83</v>
      </c>
      <c r="P67" s="3">
        <v>192.5035</v>
      </c>
      <c r="Q67" s="3">
        <v>5.1417999999999999</v>
      </c>
      <c r="R67" s="3">
        <v>197.64529999999999</v>
      </c>
      <c r="S67" s="3">
        <v>131840</v>
      </c>
      <c r="T67" s="3" t="s">
        <v>518</v>
      </c>
    </row>
    <row r="68" spans="1:20" x14ac:dyDescent="0.25">
      <c r="A68" s="2">
        <v>65</v>
      </c>
      <c r="B68" s="2">
        <v>2023</v>
      </c>
      <c r="C68" s="2" t="s">
        <v>22</v>
      </c>
      <c r="D68" s="2" t="s">
        <v>1114</v>
      </c>
      <c r="E68" s="2" t="s">
        <v>1028</v>
      </c>
      <c r="F68" s="2" t="s">
        <v>1033</v>
      </c>
      <c r="G68" s="2" t="s">
        <v>88</v>
      </c>
      <c r="H68" s="2" t="s">
        <v>1043</v>
      </c>
      <c r="I68" s="2" t="s">
        <v>1020</v>
      </c>
      <c r="J68" s="2">
        <v>2777.4</v>
      </c>
      <c r="K68" s="2" t="s">
        <v>1021</v>
      </c>
      <c r="L68" s="2">
        <v>458733.7</v>
      </c>
      <c r="M68" s="2">
        <v>102.68</v>
      </c>
      <c r="N68" s="2">
        <v>0.60529999999999995</v>
      </c>
      <c r="O68" s="2">
        <v>62.39</v>
      </c>
      <c r="P68" s="2">
        <v>277.67149999999998</v>
      </c>
      <c r="Q68" s="2">
        <v>6.4062000000000001</v>
      </c>
      <c r="R68" s="2">
        <v>284.07769999999999</v>
      </c>
      <c r="S68" s="2">
        <v>362952</v>
      </c>
      <c r="T68" s="2" t="s">
        <v>512</v>
      </c>
    </row>
    <row r="69" spans="1:20" x14ac:dyDescent="0.25">
      <c r="A69" s="3">
        <v>66</v>
      </c>
      <c r="B69" s="3">
        <v>2023</v>
      </c>
      <c r="C69" s="3" t="s">
        <v>32</v>
      </c>
      <c r="D69" s="3" t="s">
        <v>1115</v>
      </c>
      <c r="E69" s="3" t="s">
        <v>1041</v>
      </c>
      <c r="F69" s="3" t="s">
        <v>1018</v>
      </c>
      <c r="G69" s="3" t="s">
        <v>33</v>
      </c>
      <c r="H69" s="3" t="s">
        <v>1019</v>
      </c>
      <c r="I69" s="3" t="s">
        <v>1036</v>
      </c>
      <c r="J69" s="3">
        <v>454.8</v>
      </c>
      <c r="K69" s="3" t="s">
        <v>1021</v>
      </c>
      <c r="L69" s="3">
        <v>252218.8</v>
      </c>
      <c r="M69" s="3">
        <v>22.79</v>
      </c>
      <c r="N69" s="3">
        <v>0.68079999999999996</v>
      </c>
      <c r="O69" s="3">
        <v>55.39</v>
      </c>
      <c r="P69" s="3">
        <v>171.7106</v>
      </c>
      <c r="Q69" s="3">
        <v>1.2623</v>
      </c>
      <c r="R69" s="3">
        <v>172.97290000000001</v>
      </c>
      <c r="S69" s="3">
        <v>202549</v>
      </c>
      <c r="T69" s="3" t="s">
        <v>518</v>
      </c>
    </row>
    <row r="70" spans="1:20" x14ac:dyDescent="0.25">
      <c r="A70" s="2">
        <v>67</v>
      </c>
      <c r="B70" s="2">
        <v>2023</v>
      </c>
      <c r="C70" s="2" t="s">
        <v>39</v>
      </c>
      <c r="D70" s="2" t="s">
        <v>1116</v>
      </c>
      <c r="E70" s="2" t="s">
        <v>1070</v>
      </c>
      <c r="F70" s="2" t="s">
        <v>1085</v>
      </c>
      <c r="G70" s="2" t="s">
        <v>110</v>
      </c>
      <c r="H70" s="2" t="s">
        <v>1030</v>
      </c>
      <c r="I70" s="2" t="s">
        <v>1036</v>
      </c>
      <c r="J70" s="2">
        <v>1604</v>
      </c>
      <c r="K70" s="2" t="s">
        <v>1021</v>
      </c>
      <c r="L70" s="2">
        <v>362323.20000000001</v>
      </c>
      <c r="M70" s="2">
        <v>151.47</v>
      </c>
      <c r="N70" s="2">
        <v>0.57499999999999996</v>
      </c>
      <c r="O70" s="2">
        <v>74.239999999999995</v>
      </c>
      <c r="P70" s="2">
        <v>208.33580000000001</v>
      </c>
      <c r="Q70" s="2">
        <v>11.245100000000001</v>
      </c>
      <c r="R70" s="2">
        <v>219.58090000000001</v>
      </c>
      <c r="S70" s="2">
        <v>406903</v>
      </c>
      <c r="T70" s="2" t="s">
        <v>1022</v>
      </c>
    </row>
    <row r="71" spans="1:20" x14ac:dyDescent="0.25">
      <c r="A71" s="3">
        <v>68</v>
      </c>
      <c r="B71" s="3">
        <v>2023</v>
      </c>
      <c r="C71" s="3" t="s">
        <v>46</v>
      </c>
      <c r="D71" s="3" t="s">
        <v>1117</v>
      </c>
      <c r="E71" s="3" t="s">
        <v>1041</v>
      </c>
      <c r="F71" s="3" t="s">
        <v>1024</v>
      </c>
      <c r="G71" s="3" t="s">
        <v>96</v>
      </c>
      <c r="H71" s="3" t="s">
        <v>1025</v>
      </c>
      <c r="I71" s="3" t="s">
        <v>1034</v>
      </c>
      <c r="J71" s="3">
        <v>1333.6</v>
      </c>
      <c r="K71" s="3" t="s">
        <v>1021</v>
      </c>
      <c r="L71" s="3">
        <v>337031</v>
      </c>
      <c r="M71" s="3">
        <v>86.76</v>
      </c>
      <c r="N71" s="3">
        <v>0.35899999999999999</v>
      </c>
      <c r="O71" s="3">
        <v>61.85</v>
      </c>
      <c r="P71" s="3">
        <v>120.9941</v>
      </c>
      <c r="Q71" s="3">
        <v>5.3661000000000003</v>
      </c>
      <c r="R71" s="3">
        <v>126.36020000000001</v>
      </c>
      <c r="S71" s="3">
        <v>331342</v>
      </c>
      <c r="T71" s="3" t="s">
        <v>512</v>
      </c>
    </row>
    <row r="72" spans="1:20" x14ac:dyDescent="0.25">
      <c r="A72" s="2">
        <v>69</v>
      </c>
      <c r="B72" s="2">
        <v>2023</v>
      </c>
      <c r="C72" s="2" t="s">
        <v>22</v>
      </c>
      <c r="D72" s="2" t="s">
        <v>1118</v>
      </c>
      <c r="E72" s="2" t="s">
        <v>1041</v>
      </c>
      <c r="F72" s="2" t="s">
        <v>1083</v>
      </c>
      <c r="G72" s="2" t="s">
        <v>110</v>
      </c>
      <c r="H72" s="2" t="s">
        <v>1043</v>
      </c>
      <c r="I72" s="2" t="s">
        <v>1036</v>
      </c>
      <c r="J72" s="2">
        <v>3643.3</v>
      </c>
      <c r="K72" s="2" t="s">
        <v>1021</v>
      </c>
      <c r="L72" s="2">
        <v>152097.20000000001</v>
      </c>
      <c r="M72" s="2">
        <v>162.63</v>
      </c>
      <c r="N72" s="2">
        <v>0.65839999999999999</v>
      </c>
      <c r="O72" s="2">
        <v>70.72</v>
      </c>
      <c r="P72" s="2">
        <v>100.1408</v>
      </c>
      <c r="Q72" s="2">
        <v>11.501200000000001</v>
      </c>
      <c r="R72" s="2">
        <v>111.642</v>
      </c>
      <c r="S72" s="2">
        <v>158302</v>
      </c>
      <c r="T72" s="2" t="s">
        <v>1022</v>
      </c>
    </row>
    <row r="73" spans="1:20" x14ac:dyDescent="0.25">
      <c r="A73" s="3">
        <v>70</v>
      </c>
      <c r="B73" s="3">
        <v>2023</v>
      </c>
      <c r="C73" s="3" t="s">
        <v>32</v>
      </c>
      <c r="D73" s="3" t="s">
        <v>1119</v>
      </c>
      <c r="E73" s="3" t="s">
        <v>1038</v>
      </c>
      <c r="F73" s="3" t="s">
        <v>1059</v>
      </c>
      <c r="G73" s="3" t="s">
        <v>65</v>
      </c>
      <c r="H73" s="3" t="s">
        <v>1019</v>
      </c>
      <c r="I73" s="3" t="s">
        <v>1020</v>
      </c>
      <c r="J73" s="3">
        <v>604</v>
      </c>
      <c r="K73" s="3" t="s">
        <v>1021</v>
      </c>
      <c r="L73" s="3">
        <v>8926.7000000000007</v>
      </c>
      <c r="M73" s="3">
        <v>194.1</v>
      </c>
      <c r="N73" s="3">
        <v>0.77949999999999997</v>
      </c>
      <c r="O73" s="3">
        <v>56.28</v>
      </c>
      <c r="P73" s="3">
        <v>6.9584000000000001</v>
      </c>
      <c r="Q73" s="3">
        <v>10.9239</v>
      </c>
      <c r="R73" s="3">
        <v>17.882300000000001</v>
      </c>
      <c r="S73" s="3">
        <v>128472</v>
      </c>
      <c r="T73" s="3" t="s">
        <v>1022</v>
      </c>
    </row>
    <row r="74" spans="1:20" x14ac:dyDescent="0.25">
      <c r="A74" s="2">
        <v>71</v>
      </c>
      <c r="B74" s="2">
        <v>2023</v>
      </c>
      <c r="C74" s="2" t="s">
        <v>39</v>
      </c>
      <c r="D74" s="2" t="s">
        <v>1120</v>
      </c>
      <c r="E74" s="2" t="s">
        <v>1070</v>
      </c>
      <c r="F74" s="2" t="s">
        <v>1024</v>
      </c>
      <c r="G74" s="2" t="s">
        <v>58</v>
      </c>
      <c r="H74" s="2" t="s">
        <v>1043</v>
      </c>
      <c r="I74" s="2" t="s">
        <v>1065</v>
      </c>
      <c r="J74" s="2">
        <v>3860.1</v>
      </c>
      <c r="K74" s="2" t="s">
        <v>1021</v>
      </c>
      <c r="L74" s="2">
        <v>74934.7</v>
      </c>
      <c r="M74" s="2">
        <v>84.38</v>
      </c>
      <c r="N74" s="2">
        <v>0.40820000000000001</v>
      </c>
      <c r="O74" s="2">
        <v>77.069999999999993</v>
      </c>
      <c r="P74" s="2">
        <v>30.5883</v>
      </c>
      <c r="Q74" s="2">
        <v>6.5031999999999996</v>
      </c>
      <c r="R74" s="2">
        <v>37.091500000000003</v>
      </c>
      <c r="S74" s="2">
        <v>241030</v>
      </c>
      <c r="T74" s="2" t="s">
        <v>1022</v>
      </c>
    </row>
    <row r="75" spans="1:20" x14ac:dyDescent="0.25">
      <c r="A75" s="3">
        <v>72</v>
      </c>
      <c r="B75" s="3">
        <v>2023</v>
      </c>
      <c r="C75" s="3" t="s">
        <v>46</v>
      </c>
      <c r="D75" s="3" t="s">
        <v>1121</v>
      </c>
      <c r="E75" s="3" t="s">
        <v>1038</v>
      </c>
      <c r="F75" s="3" t="s">
        <v>1051</v>
      </c>
      <c r="G75" s="3" t="s">
        <v>58</v>
      </c>
      <c r="H75" s="3" t="s">
        <v>1043</v>
      </c>
      <c r="I75" s="3" t="s">
        <v>1065</v>
      </c>
      <c r="J75" s="3">
        <v>1509.4</v>
      </c>
      <c r="K75" s="3" t="s">
        <v>1021</v>
      </c>
      <c r="L75" s="3">
        <v>414895.9</v>
      </c>
      <c r="M75" s="3">
        <v>78.349999999999994</v>
      </c>
      <c r="N75" s="3">
        <v>0.51690000000000003</v>
      </c>
      <c r="O75" s="3">
        <v>53.08</v>
      </c>
      <c r="P75" s="3">
        <v>214.4597</v>
      </c>
      <c r="Q75" s="3">
        <v>4.1588000000000003</v>
      </c>
      <c r="R75" s="3">
        <v>218.61850000000001</v>
      </c>
      <c r="S75" s="3">
        <v>425822</v>
      </c>
      <c r="T75" s="3" t="s">
        <v>518</v>
      </c>
    </row>
    <row r="76" spans="1:20" x14ac:dyDescent="0.25">
      <c r="A76" s="2">
        <v>73</v>
      </c>
      <c r="B76" s="2">
        <v>2023</v>
      </c>
      <c r="C76" s="2" t="s">
        <v>22</v>
      </c>
      <c r="D76" s="2" t="s">
        <v>1122</v>
      </c>
      <c r="E76" s="2" t="s">
        <v>1054</v>
      </c>
      <c r="F76" s="2" t="s">
        <v>1059</v>
      </c>
      <c r="G76" s="2" t="s">
        <v>120</v>
      </c>
      <c r="H76" s="2" t="s">
        <v>1043</v>
      </c>
      <c r="I76" s="2" t="s">
        <v>1034</v>
      </c>
      <c r="J76" s="2">
        <v>4995.2</v>
      </c>
      <c r="K76" s="2" t="s">
        <v>1055</v>
      </c>
      <c r="L76" s="2">
        <v>19471.599999999999</v>
      </c>
      <c r="M76" s="2">
        <v>79.94</v>
      </c>
      <c r="N76" s="2">
        <v>0.60670000000000002</v>
      </c>
      <c r="O76" s="2">
        <v>71.739999999999995</v>
      </c>
      <c r="P76" s="2">
        <v>11.8134</v>
      </c>
      <c r="Q76" s="2">
        <v>5.7348999999999997</v>
      </c>
      <c r="R76" s="2">
        <v>17.548300000000001</v>
      </c>
      <c r="S76" s="2">
        <v>360002</v>
      </c>
      <c r="T76" s="2" t="s">
        <v>512</v>
      </c>
    </row>
    <row r="77" spans="1:20" ht="24" x14ac:dyDescent="0.25">
      <c r="A77" s="3">
        <v>74</v>
      </c>
      <c r="B77" s="3">
        <v>2023</v>
      </c>
      <c r="C77" s="3" t="s">
        <v>32</v>
      </c>
      <c r="D77" s="3" t="s">
        <v>1123</v>
      </c>
      <c r="E77" s="3" t="s">
        <v>1041</v>
      </c>
      <c r="F77" s="3" t="s">
        <v>1064</v>
      </c>
      <c r="G77" s="3" t="s">
        <v>204</v>
      </c>
      <c r="H77" s="3" t="s">
        <v>1043</v>
      </c>
      <c r="I77" s="3" t="s">
        <v>1039</v>
      </c>
      <c r="J77" s="3">
        <v>1613.5</v>
      </c>
      <c r="K77" s="3" t="s">
        <v>1021</v>
      </c>
      <c r="L77" s="3">
        <v>32691.8</v>
      </c>
      <c r="M77" s="3">
        <v>178.58</v>
      </c>
      <c r="N77" s="3">
        <v>0.55859999999999999</v>
      </c>
      <c r="O77" s="3">
        <v>64.2</v>
      </c>
      <c r="P77" s="3">
        <v>18.261600000000001</v>
      </c>
      <c r="Q77" s="3">
        <v>11.4648</v>
      </c>
      <c r="R77" s="3">
        <v>29.726400000000002</v>
      </c>
      <c r="S77" s="3">
        <v>470093</v>
      </c>
      <c r="T77" s="3" t="s">
        <v>518</v>
      </c>
    </row>
    <row r="78" spans="1:20" ht="24" x14ac:dyDescent="0.25">
      <c r="A78" s="2">
        <v>75</v>
      </c>
      <c r="B78" s="2">
        <v>2023</v>
      </c>
      <c r="C78" s="2" t="s">
        <v>39</v>
      </c>
      <c r="D78" s="2" t="s">
        <v>1124</v>
      </c>
      <c r="E78" s="2" t="s">
        <v>1050</v>
      </c>
      <c r="F78" s="2" t="s">
        <v>1064</v>
      </c>
      <c r="G78" s="2" t="s">
        <v>70</v>
      </c>
      <c r="H78" s="2" t="s">
        <v>1019</v>
      </c>
      <c r="I78" s="2" t="s">
        <v>1039</v>
      </c>
      <c r="J78" s="2">
        <v>153</v>
      </c>
      <c r="K78" s="2" t="s">
        <v>1021</v>
      </c>
      <c r="L78" s="2">
        <v>144717.4</v>
      </c>
      <c r="M78" s="2">
        <v>38.44</v>
      </c>
      <c r="N78" s="2">
        <v>0.52190000000000003</v>
      </c>
      <c r="O78" s="2">
        <v>56.96</v>
      </c>
      <c r="P78" s="2">
        <v>75.528000000000006</v>
      </c>
      <c r="Q78" s="2">
        <v>2.1894999999999998</v>
      </c>
      <c r="R78" s="2">
        <v>77.717500000000001</v>
      </c>
      <c r="S78" s="2">
        <v>455444</v>
      </c>
      <c r="T78" s="2" t="s">
        <v>518</v>
      </c>
    </row>
    <row r="79" spans="1:20" x14ac:dyDescent="0.25">
      <c r="A79" s="3">
        <v>76</v>
      </c>
      <c r="B79" s="3">
        <v>2023</v>
      </c>
      <c r="C79" s="3" t="s">
        <v>46</v>
      </c>
      <c r="D79" s="3" t="s">
        <v>1125</v>
      </c>
      <c r="E79" s="3" t="s">
        <v>1046</v>
      </c>
      <c r="F79" s="3" t="s">
        <v>1083</v>
      </c>
      <c r="G79" s="3" t="s">
        <v>58</v>
      </c>
      <c r="H79" s="3" t="s">
        <v>1030</v>
      </c>
      <c r="I79" s="3" t="s">
        <v>1036</v>
      </c>
      <c r="J79" s="3">
        <v>699.2</v>
      </c>
      <c r="K79" s="3" t="s">
        <v>1021</v>
      </c>
      <c r="L79" s="3">
        <v>147403.6</v>
      </c>
      <c r="M79" s="3">
        <v>142.28</v>
      </c>
      <c r="N79" s="3">
        <v>0.82989999999999997</v>
      </c>
      <c r="O79" s="3">
        <v>74.989999999999995</v>
      </c>
      <c r="P79" s="3">
        <v>122.3302</v>
      </c>
      <c r="Q79" s="3">
        <v>10.669600000000001</v>
      </c>
      <c r="R79" s="3">
        <v>132.99979999999999</v>
      </c>
      <c r="S79" s="3">
        <v>241439</v>
      </c>
      <c r="T79" s="3" t="s">
        <v>1022</v>
      </c>
    </row>
    <row r="80" spans="1:20" x14ac:dyDescent="0.25">
      <c r="A80" s="2">
        <v>77</v>
      </c>
      <c r="B80" s="2">
        <v>2023</v>
      </c>
      <c r="C80" s="2" t="s">
        <v>22</v>
      </c>
      <c r="D80" s="2" t="s">
        <v>1126</v>
      </c>
      <c r="E80" s="2" t="s">
        <v>1070</v>
      </c>
      <c r="F80" s="2" t="s">
        <v>1024</v>
      </c>
      <c r="G80" s="2" t="s">
        <v>117</v>
      </c>
      <c r="H80" s="2" t="s">
        <v>1043</v>
      </c>
      <c r="I80" s="2" t="s">
        <v>1026</v>
      </c>
      <c r="J80" s="2">
        <v>3469</v>
      </c>
      <c r="K80" s="2" t="s">
        <v>1021</v>
      </c>
      <c r="L80" s="2">
        <v>44009.8</v>
      </c>
      <c r="M80" s="2">
        <v>96.58</v>
      </c>
      <c r="N80" s="2">
        <v>0.43659999999999999</v>
      </c>
      <c r="O80" s="2">
        <v>54.69</v>
      </c>
      <c r="P80" s="2">
        <v>19.214700000000001</v>
      </c>
      <c r="Q80" s="2">
        <v>5.282</v>
      </c>
      <c r="R80" s="2">
        <v>24.496700000000001</v>
      </c>
      <c r="S80" s="2">
        <v>398806</v>
      </c>
      <c r="T80" s="2" t="s">
        <v>1022</v>
      </c>
    </row>
    <row r="81" spans="1:20" x14ac:dyDescent="0.25">
      <c r="A81" s="3">
        <v>78</v>
      </c>
      <c r="B81" s="3">
        <v>2023</v>
      </c>
      <c r="C81" s="3" t="s">
        <v>32</v>
      </c>
      <c r="D81" s="3" t="s">
        <v>1127</v>
      </c>
      <c r="E81" s="3" t="s">
        <v>1038</v>
      </c>
      <c r="F81" s="3" t="s">
        <v>1059</v>
      </c>
      <c r="G81" s="3" t="s">
        <v>120</v>
      </c>
      <c r="H81" s="3" t="s">
        <v>1019</v>
      </c>
      <c r="I81" s="3" t="s">
        <v>1036</v>
      </c>
      <c r="J81" s="3">
        <v>2806.3</v>
      </c>
      <c r="K81" s="3" t="s">
        <v>1021</v>
      </c>
      <c r="L81" s="3">
        <v>499631.4</v>
      </c>
      <c r="M81" s="3">
        <v>71.760000000000005</v>
      </c>
      <c r="N81" s="3">
        <v>0.48039999999999999</v>
      </c>
      <c r="O81" s="3">
        <v>70.31</v>
      </c>
      <c r="P81" s="3">
        <v>240.02289999999999</v>
      </c>
      <c r="Q81" s="3">
        <v>5.0453999999999999</v>
      </c>
      <c r="R81" s="3">
        <v>245.06829999999999</v>
      </c>
      <c r="S81" s="3">
        <v>431136</v>
      </c>
      <c r="T81" s="3" t="s">
        <v>1022</v>
      </c>
    </row>
    <row r="82" spans="1:20" x14ac:dyDescent="0.25">
      <c r="A82" s="2">
        <v>79</v>
      </c>
      <c r="B82" s="2">
        <v>2023</v>
      </c>
      <c r="C82" s="2" t="s">
        <v>39</v>
      </c>
      <c r="D82" s="2" t="s">
        <v>1128</v>
      </c>
      <c r="E82" s="2" t="s">
        <v>1017</v>
      </c>
      <c r="F82" s="2" t="s">
        <v>1029</v>
      </c>
      <c r="G82" s="2" t="s">
        <v>92</v>
      </c>
      <c r="H82" s="2" t="s">
        <v>1030</v>
      </c>
      <c r="I82" s="2" t="s">
        <v>1036</v>
      </c>
      <c r="J82" s="2">
        <v>2181.6</v>
      </c>
      <c r="K82" s="2" t="s">
        <v>1021</v>
      </c>
      <c r="L82" s="2">
        <v>309163.90000000002</v>
      </c>
      <c r="M82" s="2">
        <v>24.14</v>
      </c>
      <c r="N82" s="2">
        <v>0.46200000000000002</v>
      </c>
      <c r="O82" s="2">
        <v>57.73</v>
      </c>
      <c r="P82" s="2">
        <v>142.83369999999999</v>
      </c>
      <c r="Q82" s="2">
        <v>1.3935999999999999</v>
      </c>
      <c r="R82" s="2">
        <v>144.22730000000001</v>
      </c>
      <c r="S82" s="2">
        <v>184068</v>
      </c>
      <c r="T82" s="2" t="s">
        <v>518</v>
      </c>
    </row>
    <row r="83" spans="1:20" x14ac:dyDescent="0.25">
      <c r="A83" s="3">
        <v>80</v>
      </c>
      <c r="B83" s="3">
        <v>2023</v>
      </c>
      <c r="C83" s="3" t="s">
        <v>46</v>
      </c>
      <c r="D83" s="3" t="s">
        <v>1129</v>
      </c>
      <c r="E83" s="3" t="s">
        <v>1070</v>
      </c>
      <c r="F83" s="3" t="s">
        <v>1018</v>
      </c>
      <c r="G83" s="3" t="s">
        <v>24</v>
      </c>
      <c r="H83" s="3" t="s">
        <v>1025</v>
      </c>
      <c r="I83" s="3" t="s">
        <v>1065</v>
      </c>
      <c r="J83" s="3">
        <v>4486.8</v>
      </c>
      <c r="K83" s="3" t="s">
        <v>1021</v>
      </c>
      <c r="L83" s="3">
        <v>426850.7</v>
      </c>
      <c r="M83" s="3">
        <v>174.74</v>
      </c>
      <c r="N83" s="3">
        <v>0.65210000000000001</v>
      </c>
      <c r="O83" s="3">
        <v>53.12</v>
      </c>
      <c r="P83" s="3">
        <v>278.34930000000003</v>
      </c>
      <c r="Q83" s="3">
        <v>9.2821999999999996</v>
      </c>
      <c r="R83" s="3">
        <v>287.63150000000002</v>
      </c>
      <c r="S83" s="3">
        <v>401504</v>
      </c>
      <c r="T83" s="3" t="s">
        <v>518</v>
      </c>
    </row>
    <row r="84" spans="1:20" ht="24" x14ac:dyDescent="0.25">
      <c r="A84" s="2">
        <v>81</v>
      </c>
      <c r="B84" s="2">
        <v>2023</v>
      </c>
      <c r="C84" s="2" t="s">
        <v>22</v>
      </c>
      <c r="D84" s="2" t="s">
        <v>1130</v>
      </c>
      <c r="E84" s="2" t="s">
        <v>1041</v>
      </c>
      <c r="F84" s="2" t="s">
        <v>1064</v>
      </c>
      <c r="G84" s="2" t="s">
        <v>110</v>
      </c>
      <c r="H84" s="2" t="s">
        <v>1025</v>
      </c>
      <c r="I84" s="2" t="s">
        <v>1036</v>
      </c>
      <c r="J84" s="2">
        <v>3921.7</v>
      </c>
      <c r="K84" s="2" t="s">
        <v>1021</v>
      </c>
      <c r="L84" s="2">
        <v>473744.4</v>
      </c>
      <c r="M84" s="2">
        <v>164.72</v>
      </c>
      <c r="N84" s="2">
        <v>0.371</v>
      </c>
      <c r="O84" s="2">
        <v>53.16</v>
      </c>
      <c r="P84" s="2">
        <v>175.75919999999999</v>
      </c>
      <c r="Q84" s="2">
        <v>8.7565000000000008</v>
      </c>
      <c r="R84" s="2">
        <v>184.51570000000001</v>
      </c>
      <c r="S84" s="2">
        <v>110639</v>
      </c>
      <c r="T84" s="2" t="s">
        <v>518</v>
      </c>
    </row>
    <row r="85" spans="1:20" x14ac:dyDescent="0.25">
      <c r="A85" s="3">
        <v>82</v>
      </c>
      <c r="B85" s="3">
        <v>2023</v>
      </c>
      <c r="C85" s="3" t="s">
        <v>32</v>
      </c>
      <c r="D85" s="3" t="s">
        <v>1131</v>
      </c>
      <c r="E85" s="3" t="s">
        <v>1070</v>
      </c>
      <c r="F85" s="3" t="s">
        <v>1018</v>
      </c>
      <c r="G85" s="3" t="s">
        <v>54</v>
      </c>
      <c r="H85" s="3" t="s">
        <v>1030</v>
      </c>
      <c r="I85" s="3" t="s">
        <v>1052</v>
      </c>
      <c r="J85" s="3">
        <v>3555.4</v>
      </c>
      <c r="K85" s="3" t="s">
        <v>1021</v>
      </c>
      <c r="L85" s="3">
        <v>381220.4</v>
      </c>
      <c r="M85" s="3">
        <v>99.68</v>
      </c>
      <c r="N85" s="3">
        <v>0.78520000000000001</v>
      </c>
      <c r="O85" s="3">
        <v>54.63</v>
      </c>
      <c r="P85" s="3">
        <v>299.33429999999998</v>
      </c>
      <c r="Q85" s="3">
        <v>5.4455</v>
      </c>
      <c r="R85" s="3">
        <v>304.77980000000002</v>
      </c>
      <c r="S85" s="3">
        <v>411389</v>
      </c>
      <c r="T85" s="3" t="s">
        <v>1022</v>
      </c>
    </row>
    <row r="86" spans="1:20" x14ac:dyDescent="0.25">
      <c r="A86" s="2">
        <v>83</v>
      </c>
      <c r="B86" s="2">
        <v>2023</v>
      </c>
      <c r="C86" s="2" t="s">
        <v>39</v>
      </c>
      <c r="D86" s="2" t="s">
        <v>1132</v>
      </c>
      <c r="E86" s="2" t="s">
        <v>1046</v>
      </c>
      <c r="F86" s="2" t="s">
        <v>1033</v>
      </c>
      <c r="G86" s="2" t="s">
        <v>88</v>
      </c>
      <c r="H86" s="2" t="s">
        <v>1030</v>
      </c>
      <c r="I86" s="2" t="s">
        <v>1039</v>
      </c>
      <c r="J86" s="2">
        <v>4849.7</v>
      </c>
      <c r="K86" s="2" t="s">
        <v>1021</v>
      </c>
      <c r="L86" s="2">
        <v>384840.4</v>
      </c>
      <c r="M86" s="2">
        <v>1.32</v>
      </c>
      <c r="N86" s="2">
        <v>0.76739999999999997</v>
      </c>
      <c r="O86" s="2">
        <v>64.209999999999994</v>
      </c>
      <c r="P86" s="2">
        <v>295.32650000000001</v>
      </c>
      <c r="Q86" s="2">
        <v>8.48E-2</v>
      </c>
      <c r="R86" s="2">
        <v>295.41129999999998</v>
      </c>
      <c r="S86" s="2">
        <v>93918</v>
      </c>
      <c r="T86" s="2" t="s">
        <v>518</v>
      </c>
    </row>
    <row r="87" spans="1:20" x14ac:dyDescent="0.25">
      <c r="A87" s="3">
        <v>84</v>
      </c>
      <c r="B87" s="3">
        <v>2023</v>
      </c>
      <c r="C87" s="3" t="s">
        <v>46</v>
      </c>
      <c r="D87" s="3" t="s">
        <v>1133</v>
      </c>
      <c r="E87" s="3" t="s">
        <v>1050</v>
      </c>
      <c r="F87" s="3" t="s">
        <v>1042</v>
      </c>
      <c r="G87" s="3" t="s">
        <v>70</v>
      </c>
      <c r="H87" s="3" t="s">
        <v>1019</v>
      </c>
      <c r="I87" s="3" t="s">
        <v>1034</v>
      </c>
      <c r="J87" s="3">
        <v>1835.2</v>
      </c>
      <c r="K87" s="3" t="s">
        <v>1021</v>
      </c>
      <c r="L87" s="3">
        <v>332832.59999999998</v>
      </c>
      <c r="M87" s="3">
        <v>30.32</v>
      </c>
      <c r="N87" s="3">
        <v>0.7268</v>
      </c>
      <c r="O87" s="3">
        <v>62.65</v>
      </c>
      <c r="P87" s="3">
        <v>241.90270000000001</v>
      </c>
      <c r="Q87" s="3">
        <v>1.8995</v>
      </c>
      <c r="R87" s="3">
        <v>243.8022</v>
      </c>
      <c r="S87" s="3">
        <v>402867</v>
      </c>
      <c r="T87" s="3" t="s">
        <v>512</v>
      </c>
    </row>
    <row r="88" spans="1:20" x14ac:dyDescent="0.25">
      <c r="A88" s="2">
        <v>85</v>
      </c>
      <c r="B88" s="2">
        <v>2023</v>
      </c>
      <c r="C88" s="2" t="s">
        <v>22</v>
      </c>
      <c r="D88" s="2" t="s">
        <v>1134</v>
      </c>
      <c r="E88" s="2" t="s">
        <v>1046</v>
      </c>
      <c r="F88" s="2" t="s">
        <v>1018</v>
      </c>
      <c r="G88" s="2" t="s">
        <v>24</v>
      </c>
      <c r="H88" s="2" t="s">
        <v>1025</v>
      </c>
      <c r="I88" s="2" t="s">
        <v>1020</v>
      </c>
      <c r="J88" s="2">
        <v>4761.6000000000004</v>
      </c>
      <c r="K88" s="2" t="s">
        <v>1021</v>
      </c>
      <c r="L88" s="2">
        <v>258561.5</v>
      </c>
      <c r="M88" s="2">
        <v>136.44</v>
      </c>
      <c r="N88" s="2">
        <v>0.82189999999999996</v>
      </c>
      <c r="O88" s="2">
        <v>63.28</v>
      </c>
      <c r="P88" s="2">
        <v>212.51169999999999</v>
      </c>
      <c r="Q88" s="2">
        <v>8.6339000000000006</v>
      </c>
      <c r="R88" s="2">
        <v>221.1456</v>
      </c>
      <c r="S88" s="2">
        <v>405061</v>
      </c>
      <c r="T88" s="2" t="s">
        <v>512</v>
      </c>
    </row>
    <row r="89" spans="1:20" x14ac:dyDescent="0.25">
      <c r="A89" s="3">
        <v>86</v>
      </c>
      <c r="B89" s="3">
        <v>2023</v>
      </c>
      <c r="C89" s="3" t="s">
        <v>32</v>
      </c>
      <c r="D89" s="3" t="s">
        <v>1135</v>
      </c>
      <c r="E89" s="3" t="s">
        <v>1017</v>
      </c>
      <c r="F89" s="3" t="s">
        <v>1059</v>
      </c>
      <c r="G89" s="3" t="s">
        <v>117</v>
      </c>
      <c r="H89" s="3" t="s">
        <v>1019</v>
      </c>
      <c r="I89" s="3" t="s">
        <v>1039</v>
      </c>
      <c r="J89" s="3">
        <v>2038.2</v>
      </c>
      <c r="K89" s="3" t="s">
        <v>1021</v>
      </c>
      <c r="L89" s="3">
        <v>386413.9</v>
      </c>
      <c r="M89" s="3">
        <v>86.81</v>
      </c>
      <c r="N89" s="3">
        <v>0.54659999999999997</v>
      </c>
      <c r="O89" s="3">
        <v>51.11</v>
      </c>
      <c r="P89" s="3">
        <v>211.21379999999999</v>
      </c>
      <c r="Q89" s="3">
        <v>4.4368999999999996</v>
      </c>
      <c r="R89" s="3">
        <v>215.6507</v>
      </c>
      <c r="S89" s="3">
        <v>38327</v>
      </c>
      <c r="T89" s="3" t="s">
        <v>512</v>
      </c>
    </row>
    <row r="90" spans="1:20" x14ac:dyDescent="0.25">
      <c r="A90" s="2">
        <v>87</v>
      </c>
      <c r="B90" s="2">
        <v>2023</v>
      </c>
      <c r="C90" s="2" t="s">
        <v>39</v>
      </c>
      <c r="D90" s="2" t="s">
        <v>1136</v>
      </c>
      <c r="E90" s="2" t="s">
        <v>1050</v>
      </c>
      <c r="F90" s="2" t="s">
        <v>1059</v>
      </c>
      <c r="G90" s="2" t="s">
        <v>58</v>
      </c>
      <c r="H90" s="2" t="s">
        <v>1030</v>
      </c>
      <c r="I90" s="2" t="s">
        <v>1026</v>
      </c>
      <c r="J90" s="2">
        <v>4434.6000000000004</v>
      </c>
      <c r="K90" s="2" t="s">
        <v>1021</v>
      </c>
      <c r="L90" s="2">
        <v>350694.40000000002</v>
      </c>
      <c r="M90" s="2">
        <v>174.71</v>
      </c>
      <c r="N90" s="2">
        <v>0.71079999999999999</v>
      </c>
      <c r="O90" s="2">
        <v>59.41</v>
      </c>
      <c r="P90" s="2">
        <v>249.27359999999999</v>
      </c>
      <c r="Q90" s="2">
        <v>10.3795</v>
      </c>
      <c r="R90" s="2">
        <v>259.65309999999999</v>
      </c>
      <c r="S90" s="2">
        <v>415232</v>
      </c>
      <c r="T90" s="2" t="s">
        <v>1022</v>
      </c>
    </row>
    <row r="91" spans="1:20" x14ac:dyDescent="0.25">
      <c r="A91" s="3">
        <v>88</v>
      </c>
      <c r="B91" s="3">
        <v>2023</v>
      </c>
      <c r="C91" s="3" t="s">
        <v>46</v>
      </c>
      <c r="D91" s="3" t="s">
        <v>1137</v>
      </c>
      <c r="E91" s="3" t="s">
        <v>1050</v>
      </c>
      <c r="F91" s="3" t="s">
        <v>1042</v>
      </c>
      <c r="G91" s="3" t="s">
        <v>92</v>
      </c>
      <c r="H91" s="3" t="s">
        <v>1030</v>
      </c>
      <c r="I91" s="3" t="s">
        <v>1036</v>
      </c>
      <c r="J91" s="3">
        <v>2258.6</v>
      </c>
      <c r="K91" s="3" t="s">
        <v>1021</v>
      </c>
      <c r="L91" s="3">
        <v>103361.7</v>
      </c>
      <c r="M91" s="3">
        <v>108.89</v>
      </c>
      <c r="N91" s="3">
        <v>0.74419999999999997</v>
      </c>
      <c r="O91" s="3">
        <v>69.56</v>
      </c>
      <c r="P91" s="3">
        <v>76.921800000000005</v>
      </c>
      <c r="Q91" s="3">
        <v>7.5743999999999998</v>
      </c>
      <c r="R91" s="3">
        <v>84.496200000000002</v>
      </c>
      <c r="S91" s="3">
        <v>392966</v>
      </c>
      <c r="T91" s="3" t="s">
        <v>1022</v>
      </c>
    </row>
    <row r="92" spans="1:20" x14ac:dyDescent="0.25">
      <c r="A92" s="2">
        <v>89</v>
      </c>
      <c r="B92" s="2">
        <v>2023</v>
      </c>
      <c r="C92" s="2" t="s">
        <v>22</v>
      </c>
      <c r="D92" s="2" t="s">
        <v>1138</v>
      </c>
      <c r="E92" s="2" t="s">
        <v>1070</v>
      </c>
      <c r="F92" s="2" t="s">
        <v>1018</v>
      </c>
      <c r="G92" s="2" t="s">
        <v>139</v>
      </c>
      <c r="H92" s="2" t="s">
        <v>1057</v>
      </c>
      <c r="I92" s="2" t="s">
        <v>1039</v>
      </c>
      <c r="J92" s="2">
        <v>467.2</v>
      </c>
      <c r="K92" s="2" t="s">
        <v>1021</v>
      </c>
      <c r="L92" s="2">
        <v>269179.3</v>
      </c>
      <c r="M92" s="2">
        <v>78</v>
      </c>
      <c r="N92" s="2">
        <v>0.70940000000000003</v>
      </c>
      <c r="O92" s="2">
        <v>76.400000000000006</v>
      </c>
      <c r="P92" s="2">
        <v>190.95580000000001</v>
      </c>
      <c r="Q92" s="2">
        <v>5.9592000000000001</v>
      </c>
      <c r="R92" s="2">
        <v>196.91499999999999</v>
      </c>
      <c r="S92" s="2">
        <v>149125</v>
      </c>
      <c r="T92" s="2" t="s">
        <v>518</v>
      </c>
    </row>
    <row r="93" spans="1:20" x14ac:dyDescent="0.25">
      <c r="A93" s="3">
        <v>90</v>
      </c>
      <c r="B93" s="3">
        <v>2023</v>
      </c>
      <c r="C93" s="3" t="s">
        <v>32</v>
      </c>
      <c r="D93" s="3" t="s">
        <v>1139</v>
      </c>
      <c r="E93" s="3" t="s">
        <v>1070</v>
      </c>
      <c r="F93" s="3" t="s">
        <v>1033</v>
      </c>
      <c r="G93" s="3" t="s">
        <v>96</v>
      </c>
      <c r="H93" s="3" t="s">
        <v>1057</v>
      </c>
      <c r="I93" s="3" t="s">
        <v>1052</v>
      </c>
      <c r="J93" s="3">
        <v>2630.6</v>
      </c>
      <c r="K93" s="3" t="s">
        <v>1021</v>
      </c>
      <c r="L93" s="3">
        <v>378766.1</v>
      </c>
      <c r="M93" s="3">
        <v>32.01</v>
      </c>
      <c r="N93" s="3">
        <v>0.3639</v>
      </c>
      <c r="O93" s="3">
        <v>73.900000000000006</v>
      </c>
      <c r="P93" s="3">
        <v>137.833</v>
      </c>
      <c r="Q93" s="3">
        <v>2.3654999999999999</v>
      </c>
      <c r="R93" s="3">
        <v>140.1985</v>
      </c>
      <c r="S93" s="3">
        <v>128256</v>
      </c>
      <c r="T93" s="3" t="s">
        <v>512</v>
      </c>
    </row>
    <row r="94" spans="1:20" x14ac:dyDescent="0.25">
      <c r="A94" s="2">
        <v>91</v>
      </c>
      <c r="B94" s="2">
        <v>2023</v>
      </c>
      <c r="C94" s="2" t="s">
        <v>39</v>
      </c>
      <c r="D94" s="2" t="s">
        <v>1140</v>
      </c>
      <c r="E94" s="2" t="s">
        <v>1054</v>
      </c>
      <c r="F94" s="2" t="s">
        <v>1018</v>
      </c>
      <c r="G94" s="2" t="s">
        <v>204</v>
      </c>
      <c r="H94" s="2" t="s">
        <v>1025</v>
      </c>
      <c r="I94" s="2" t="s">
        <v>1036</v>
      </c>
      <c r="J94" s="2">
        <v>596.70000000000005</v>
      </c>
      <c r="K94" s="2" t="s">
        <v>1055</v>
      </c>
      <c r="L94" s="2">
        <v>30912.9</v>
      </c>
      <c r="M94" s="2">
        <v>74.599999999999994</v>
      </c>
      <c r="N94" s="2">
        <v>0.66349999999999998</v>
      </c>
      <c r="O94" s="2">
        <v>60.63</v>
      </c>
      <c r="P94" s="2">
        <v>20.5107</v>
      </c>
      <c r="Q94" s="2">
        <v>4.5229999999999997</v>
      </c>
      <c r="R94" s="2">
        <v>25.0337</v>
      </c>
      <c r="S94" s="2">
        <v>328972</v>
      </c>
      <c r="T94" s="2" t="s">
        <v>512</v>
      </c>
    </row>
    <row r="95" spans="1:20" x14ac:dyDescent="0.25">
      <c r="A95" s="3">
        <v>92</v>
      </c>
      <c r="B95" s="3">
        <v>2023</v>
      </c>
      <c r="C95" s="3" t="s">
        <v>46</v>
      </c>
      <c r="D95" s="3" t="s">
        <v>1141</v>
      </c>
      <c r="E95" s="3" t="s">
        <v>1041</v>
      </c>
      <c r="F95" s="3" t="s">
        <v>1059</v>
      </c>
      <c r="G95" s="3" t="s">
        <v>54</v>
      </c>
      <c r="H95" s="3" t="s">
        <v>1057</v>
      </c>
      <c r="I95" s="3" t="s">
        <v>1020</v>
      </c>
      <c r="J95" s="3">
        <v>3697.5</v>
      </c>
      <c r="K95" s="3" t="s">
        <v>1021</v>
      </c>
      <c r="L95" s="3">
        <v>227120.4</v>
      </c>
      <c r="M95" s="3">
        <v>196.59</v>
      </c>
      <c r="N95" s="3">
        <v>0.75270000000000004</v>
      </c>
      <c r="O95" s="3">
        <v>79.67</v>
      </c>
      <c r="P95" s="3">
        <v>170.95349999999999</v>
      </c>
      <c r="Q95" s="3">
        <v>15.6623</v>
      </c>
      <c r="R95" s="3">
        <v>186.61580000000001</v>
      </c>
      <c r="S95" s="3">
        <v>448226</v>
      </c>
      <c r="T95" s="3" t="s">
        <v>518</v>
      </c>
    </row>
    <row r="96" spans="1:20" x14ac:dyDescent="0.25">
      <c r="A96" s="2">
        <v>93</v>
      </c>
      <c r="B96" s="2">
        <v>2023</v>
      </c>
      <c r="C96" s="2" t="s">
        <v>22</v>
      </c>
      <c r="D96" s="2" t="s">
        <v>1142</v>
      </c>
      <c r="E96" s="2" t="s">
        <v>1038</v>
      </c>
      <c r="F96" s="2" t="s">
        <v>1018</v>
      </c>
      <c r="G96" s="2" t="s">
        <v>88</v>
      </c>
      <c r="H96" s="2" t="s">
        <v>1043</v>
      </c>
      <c r="I96" s="2" t="s">
        <v>1039</v>
      </c>
      <c r="J96" s="2">
        <v>1784.2</v>
      </c>
      <c r="K96" s="2" t="s">
        <v>1021</v>
      </c>
      <c r="L96" s="2">
        <v>142983.20000000001</v>
      </c>
      <c r="M96" s="2">
        <v>156.96</v>
      </c>
      <c r="N96" s="2">
        <v>0.70740000000000003</v>
      </c>
      <c r="O96" s="2">
        <v>70.17</v>
      </c>
      <c r="P96" s="2">
        <v>101.1463</v>
      </c>
      <c r="Q96" s="2">
        <v>11.0139</v>
      </c>
      <c r="R96" s="2">
        <v>112.1602</v>
      </c>
      <c r="S96" s="2">
        <v>371381</v>
      </c>
      <c r="T96" s="2" t="s">
        <v>518</v>
      </c>
    </row>
    <row r="97" spans="1:20" x14ac:dyDescent="0.25">
      <c r="A97" s="3">
        <v>94</v>
      </c>
      <c r="B97" s="3">
        <v>2023</v>
      </c>
      <c r="C97" s="3" t="s">
        <v>32</v>
      </c>
      <c r="D97" s="3" t="s">
        <v>1143</v>
      </c>
      <c r="E97" s="3" t="s">
        <v>1041</v>
      </c>
      <c r="F97" s="3" t="s">
        <v>1042</v>
      </c>
      <c r="G97" s="3" t="s">
        <v>70</v>
      </c>
      <c r="H97" s="3" t="s">
        <v>1043</v>
      </c>
      <c r="I97" s="3" t="s">
        <v>1026</v>
      </c>
      <c r="J97" s="3">
        <v>1003.1</v>
      </c>
      <c r="K97" s="3" t="s">
        <v>1021</v>
      </c>
      <c r="L97" s="3">
        <v>389496.2</v>
      </c>
      <c r="M97" s="3">
        <v>90.86</v>
      </c>
      <c r="N97" s="3">
        <v>0.42330000000000001</v>
      </c>
      <c r="O97" s="3">
        <v>62.77</v>
      </c>
      <c r="P97" s="3">
        <v>164.87370000000001</v>
      </c>
      <c r="Q97" s="3">
        <v>5.7032999999999996</v>
      </c>
      <c r="R97" s="3">
        <v>170.577</v>
      </c>
      <c r="S97" s="3">
        <v>55202</v>
      </c>
      <c r="T97" s="3" t="s">
        <v>1022</v>
      </c>
    </row>
    <row r="98" spans="1:20" x14ac:dyDescent="0.25">
      <c r="A98" s="2">
        <v>95</v>
      </c>
      <c r="B98" s="2">
        <v>2023</v>
      </c>
      <c r="C98" s="2" t="s">
        <v>39</v>
      </c>
      <c r="D98" s="2" t="s">
        <v>1144</v>
      </c>
      <c r="E98" s="2" t="s">
        <v>1046</v>
      </c>
      <c r="F98" s="2" t="s">
        <v>1024</v>
      </c>
      <c r="G98" s="2" t="s">
        <v>154</v>
      </c>
      <c r="H98" s="2" t="s">
        <v>1043</v>
      </c>
      <c r="I98" s="2" t="s">
        <v>1036</v>
      </c>
      <c r="J98" s="2">
        <v>1113.2</v>
      </c>
      <c r="K98" s="2" t="s">
        <v>1021</v>
      </c>
      <c r="L98" s="2">
        <v>39958.300000000003</v>
      </c>
      <c r="M98" s="2">
        <v>135.36000000000001</v>
      </c>
      <c r="N98" s="2">
        <v>0.5514</v>
      </c>
      <c r="O98" s="2">
        <v>66.77</v>
      </c>
      <c r="P98" s="2">
        <v>22.033000000000001</v>
      </c>
      <c r="Q98" s="2">
        <v>9.0380000000000003</v>
      </c>
      <c r="R98" s="2">
        <v>31.071000000000002</v>
      </c>
      <c r="S98" s="2">
        <v>139210</v>
      </c>
      <c r="T98" s="2" t="s">
        <v>512</v>
      </c>
    </row>
    <row r="99" spans="1:20" x14ac:dyDescent="0.25">
      <c r="A99" s="3">
        <v>96</v>
      </c>
      <c r="B99" s="3">
        <v>2023</v>
      </c>
      <c r="C99" s="3" t="s">
        <v>46</v>
      </c>
      <c r="D99" s="3" t="s">
        <v>1145</v>
      </c>
      <c r="E99" s="3" t="s">
        <v>1046</v>
      </c>
      <c r="F99" s="3" t="s">
        <v>1024</v>
      </c>
      <c r="G99" s="3" t="s">
        <v>110</v>
      </c>
      <c r="H99" s="3" t="s">
        <v>1057</v>
      </c>
      <c r="I99" s="3" t="s">
        <v>1034</v>
      </c>
      <c r="J99" s="3">
        <v>3460.6</v>
      </c>
      <c r="K99" s="3" t="s">
        <v>1021</v>
      </c>
      <c r="L99" s="3">
        <v>473962.2</v>
      </c>
      <c r="M99" s="3">
        <v>146.34</v>
      </c>
      <c r="N99" s="3">
        <v>0.5585</v>
      </c>
      <c r="O99" s="3">
        <v>54.89</v>
      </c>
      <c r="P99" s="3">
        <v>264.7079</v>
      </c>
      <c r="Q99" s="3">
        <v>8.0326000000000004</v>
      </c>
      <c r="R99" s="3">
        <v>272.7405</v>
      </c>
      <c r="S99" s="3">
        <v>247535</v>
      </c>
      <c r="T99" s="3" t="s">
        <v>518</v>
      </c>
    </row>
    <row r="100" spans="1:20" x14ac:dyDescent="0.25">
      <c r="A100" s="2">
        <v>97</v>
      </c>
      <c r="B100" s="2">
        <v>2023</v>
      </c>
      <c r="C100" s="2" t="s">
        <v>22</v>
      </c>
      <c r="D100" s="2" t="s">
        <v>1146</v>
      </c>
      <c r="E100" s="2" t="s">
        <v>1054</v>
      </c>
      <c r="F100" s="2" t="s">
        <v>1018</v>
      </c>
      <c r="G100" s="2" t="s">
        <v>58</v>
      </c>
      <c r="H100" s="2" t="s">
        <v>1057</v>
      </c>
      <c r="I100" s="2" t="s">
        <v>1052</v>
      </c>
      <c r="J100" s="2">
        <v>4323.2</v>
      </c>
      <c r="K100" s="2" t="s">
        <v>1055</v>
      </c>
      <c r="L100" s="2">
        <v>59911</v>
      </c>
      <c r="M100" s="2">
        <v>42.53</v>
      </c>
      <c r="N100" s="2">
        <v>0.5867</v>
      </c>
      <c r="O100" s="2">
        <v>72.39</v>
      </c>
      <c r="P100" s="2">
        <v>35.149799999999999</v>
      </c>
      <c r="Q100" s="2">
        <v>3.0787</v>
      </c>
      <c r="R100" s="2">
        <v>38.228499999999997</v>
      </c>
      <c r="S100" s="2">
        <v>461632</v>
      </c>
      <c r="T100" s="2" t="s">
        <v>512</v>
      </c>
    </row>
    <row r="101" spans="1:20" x14ac:dyDescent="0.25">
      <c r="A101" s="3">
        <v>98</v>
      </c>
      <c r="B101" s="3">
        <v>2023</v>
      </c>
      <c r="C101" s="3" t="s">
        <v>32</v>
      </c>
      <c r="D101" s="3" t="s">
        <v>1147</v>
      </c>
      <c r="E101" s="3" t="s">
        <v>1032</v>
      </c>
      <c r="F101" s="3" t="s">
        <v>1029</v>
      </c>
      <c r="G101" s="3" t="s">
        <v>92</v>
      </c>
      <c r="H101" s="3" t="s">
        <v>1030</v>
      </c>
      <c r="I101" s="3" t="s">
        <v>1052</v>
      </c>
      <c r="J101" s="3">
        <v>648.29999999999995</v>
      </c>
      <c r="K101" s="3" t="s">
        <v>1021</v>
      </c>
      <c r="L101" s="3">
        <v>286310.59999999998</v>
      </c>
      <c r="M101" s="3">
        <v>8.06</v>
      </c>
      <c r="N101" s="3">
        <v>0.42670000000000002</v>
      </c>
      <c r="O101" s="3">
        <v>61.14</v>
      </c>
      <c r="P101" s="3">
        <v>122.1687</v>
      </c>
      <c r="Q101" s="3">
        <v>0.49280000000000002</v>
      </c>
      <c r="R101" s="3">
        <v>122.6615</v>
      </c>
      <c r="S101" s="3">
        <v>154051</v>
      </c>
      <c r="T101" s="3" t="s">
        <v>1022</v>
      </c>
    </row>
    <row r="102" spans="1:20" x14ac:dyDescent="0.25">
      <c r="A102" s="2">
        <v>99</v>
      </c>
      <c r="B102" s="2">
        <v>2023</v>
      </c>
      <c r="C102" s="2" t="s">
        <v>39</v>
      </c>
      <c r="D102" s="2" t="s">
        <v>1148</v>
      </c>
      <c r="E102" s="2" t="s">
        <v>884</v>
      </c>
      <c r="F102" s="2" t="s">
        <v>1029</v>
      </c>
      <c r="G102" s="2" t="s">
        <v>24</v>
      </c>
      <c r="H102" s="2" t="s">
        <v>1019</v>
      </c>
      <c r="I102" s="2" t="s">
        <v>1036</v>
      </c>
      <c r="J102" s="2">
        <v>3929.8</v>
      </c>
      <c r="K102" s="2" t="s">
        <v>1021</v>
      </c>
      <c r="L102" s="2">
        <v>211456.7</v>
      </c>
      <c r="M102" s="2">
        <v>187.36</v>
      </c>
      <c r="N102" s="2">
        <v>0.50260000000000005</v>
      </c>
      <c r="O102" s="2">
        <v>58.5</v>
      </c>
      <c r="P102" s="2">
        <v>106.27809999999999</v>
      </c>
      <c r="Q102" s="2">
        <v>10.960599999999999</v>
      </c>
      <c r="R102" s="2">
        <v>117.23869999999999</v>
      </c>
      <c r="S102" s="2">
        <v>372434</v>
      </c>
      <c r="T102" s="2" t="s">
        <v>518</v>
      </c>
    </row>
    <row r="103" spans="1:20" x14ac:dyDescent="0.25">
      <c r="A103" s="3">
        <v>100</v>
      </c>
      <c r="B103" s="3">
        <v>2023</v>
      </c>
      <c r="C103" s="3" t="s">
        <v>46</v>
      </c>
      <c r="D103" s="3" t="s">
        <v>1149</v>
      </c>
      <c r="E103" s="3" t="s">
        <v>1017</v>
      </c>
      <c r="F103" s="3" t="s">
        <v>1051</v>
      </c>
      <c r="G103" s="3" t="s">
        <v>110</v>
      </c>
      <c r="H103" s="3" t="s">
        <v>1030</v>
      </c>
      <c r="I103" s="3" t="s">
        <v>1036</v>
      </c>
      <c r="J103" s="3">
        <v>384.4</v>
      </c>
      <c r="K103" s="3" t="s">
        <v>1021</v>
      </c>
      <c r="L103" s="3">
        <v>23296.6</v>
      </c>
      <c r="M103" s="3">
        <v>96.24</v>
      </c>
      <c r="N103" s="3">
        <v>0.50490000000000002</v>
      </c>
      <c r="O103" s="3">
        <v>63.57</v>
      </c>
      <c r="P103" s="3">
        <v>11.762499999999999</v>
      </c>
      <c r="Q103" s="3">
        <v>6.1180000000000003</v>
      </c>
      <c r="R103" s="3">
        <v>17.880500000000001</v>
      </c>
      <c r="S103" s="3">
        <v>194880</v>
      </c>
      <c r="T103" s="3" t="s">
        <v>1022</v>
      </c>
    </row>
  </sheetData>
  <autoFilter ref="A3:T3" xr:uid="{00000000-0009-0000-0000-000007000000}"/>
  <mergeCells count="2">
    <mergeCell ref="A1:P1"/>
    <mergeCell ref="A2:P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T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1150</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25.5" x14ac:dyDescent="0.25">
      <c r="A3" s="1" t="s">
        <v>2</v>
      </c>
      <c r="B3" s="1" t="s">
        <v>3</v>
      </c>
      <c r="C3" s="1" t="s">
        <v>4</v>
      </c>
      <c r="D3" s="1" t="s">
        <v>528</v>
      </c>
      <c r="E3" s="1" t="s">
        <v>531</v>
      </c>
      <c r="F3" s="1" t="s">
        <v>1151</v>
      </c>
      <c r="G3" s="1" t="s">
        <v>530</v>
      </c>
      <c r="H3" s="1" t="s">
        <v>1152</v>
      </c>
      <c r="I3" s="1" t="s">
        <v>532</v>
      </c>
      <c r="J3" s="1" t="s">
        <v>1153</v>
      </c>
      <c r="K3" s="1" t="s">
        <v>534</v>
      </c>
      <c r="L3" s="1" t="s">
        <v>535</v>
      </c>
      <c r="M3" s="1" t="s">
        <v>536</v>
      </c>
      <c r="N3" s="1" t="s">
        <v>1154</v>
      </c>
      <c r="O3" s="1" t="s">
        <v>1155</v>
      </c>
      <c r="P3" s="1" t="s">
        <v>1156</v>
      </c>
      <c r="Q3" s="1" t="s">
        <v>1157</v>
      </c>
      <c r="R3" s="1" t="s">
        <v>496</v>
      </c>
      <c r="S3" s="1" t="s">
        <v>1158</v>
      </c>
      <c r="T3" s="1" t="s">
        <v>1014</v>
      </c>
    </row>
    <row r="4" spans="1:20" x14ac:dyDescent="0.25">
      <c r="A4" s="2">
        <v>1</v>
      </c>
      <c r="B4" s="2">
        <v>2023</v>
      </c>
      <c r="C4" s="2" t="s">
        <v>22</v>
      </c>
      <c r="D4" s="2" t="s">
        <v>1159</v>
      </c>
      <c r="E4" s="2" t="s">
        <v>106</v>
      </c>
      <c r="F4" s="2" t="s">
        <v>1160</v>
      </c>
      <c r="G4" s="2" t="s">
        <v>154</v>
      </c>
      <c r="H4" s="2" t="s">
        <v>1161</v>
      </c>
      <c r="I4" s="2" t="s">
        <v>1162</v>
      </c>
      <c r="J4" s="2" t="s">
        <v>1163</v>
      </c>
      <c r="K4" s="2">
        <v>190.97</v>
      </c>
      <c r="L4" s="2">
        <v>6098.2</v>
      </c>
      <c r="M4" s="2">
        <v>1164573.25</v>
      </c>
      <c r="N4" s="2">
        <v>0.25</v>
      </c>
      <c r="O4" s="2">
        <v>291.14330999999999</v>
      </c>
      <c r="P4" s="2">
        <v>3369.4</v>
      </c>
      <c r="Q4" s="2">
        <v>7874.6</v>
      </c>
      <c r="R4" s="2">
        <v>0.71389999999999998</v>
      </c>
      <c r="S4" s="2">
        <v>5.6216799999999996</v>
      </c>
      <c r="T4" s="2">
        <v>296.76499000000001</v>
      </c>
    </row>
    <row r="5" spans="1:20" x14ac:dyDescent="0.25">
      <c r="A5" s="3">
        <v>2</v>
      </c>
      <c r="B5" s="3">
        <v>2023</v>
      </c>
      <c r="C5" s="3" t="s">
        <v>32</v>
      </c>
      <c r="D5" s="3" t="s">
        <v>1164</v>
      </c>
      <c r="E5" s="3" t="s">
        <v>140</v>
      </c>
      <c r="F5" s="3" t="s">
        <v>1165</v>
      </c>
      <c r="G5" s="3" t="s">
        <v>154</v>
      </c>
      <c r="H5" s="3" t="s">
        <v>1166</v>
      </c>
      <c r="I5" s="3" t="s">
        <v>560</v>
      </c>
      <c r="J5" s="3" t="s">
        <v>557</v>
      </c>
      <c r="K5" s="3">
        <v>69.92</v>
      </c>
      <c r="L5" s="3">
        <v>3175.3</v>
      </c>
      <c r="M5" s="3">
        <v>222016.98</v>
      </c>
      <c r="N5" s="3">
        <v>0.8</v>
      </c>
      <c r="O5" s="3">
        <v>177.61358000000001</v>
      </c>
      <c r="P5" s="3">
        <v>2750.9</v>
      </c>
      <c r="Q5" s="3">
        <v>47924.9</v>
      </c>
      <c r="R5" s="3">
        <v>0.79500000000000004</v>
      </c>
      <c r="S5" s="3">
        <v>38.100299999999997</v>
      </c>
      <c r="T5" s="3">
        <v>215.71387999999999</v>
      </c>
    </row>
    <row r="6" spans="1:20" ht="24" x14ac:dyDescent="0.25">
      <c r="A6" s="2">
        <v>3</v>
      </c>
      <c r="B6" s="2">
        <v>2023</v>
      </c>
      <c r="C6" s="2" t="s">
        <v>39</v>
      </c>
      <c r="D6" s="2" t="s">
        <v>1167</v>
      </c>
      <c r="E6" s="2" t="s">
        <v>67</v>
      </c>
      <c r="F6" s="2" t="s">
        <v>1160</v>
      </c>
      <c r="G6" s="2" t="s">
        <v>24</v>
      </c>
      <c r="H6" s="2" t="s">
        <v>1168</v>
      </c>
      <c r="I6" s="2" t="s">
        <v>1169</v>
      </c>
      <c r="J6" s="2" t="s">
        <v>1170</v>
      </c>
      <c r="K6" s="2">
        <v>7.54</v>
      </c>
      <c r="L6" s="2">
        <v>5048.3</v>
      </c>
      <c r="M6" s="2">
        <v>38064.18</v>
      </c>
      <c r="N6" s="2">
        <v>6.2E-2</v>
      </c>
      <c r="O6" s="2">
        <v>2.3599800000000002</v>
      </c>
      <c r="P6" s="2">
        <v>3880.8</v>
      </c>
      <c r="Q6" s="2">
        <v>15788</v>
      </c>
      <c r="R6" s="2">
        <v>0.67259999999999998</v>
      </c>
      <c r="S6" s="2">
        <v>10.619009999999999</v>
      </c>
      <c r="T6" s="2">
        <v>12.97899</v>
      </c>
    </row>
    <row r="7" spans="1:20" x14ac:dyDescent="0.25">
      <c r="A7" s="3">
        <v>4</v>
      </c>
      <c r="B7" s="3">
        <v>2023</v>
      </c>
      <c r="C7" s="3" t="s">
        <v>46</v>
      </c>
      <c r="D7" s="3" t="s">
        <v>1171</v>
      </c>
      <c r="E7" s="3" t="s">
        <v>89</v>
      </c>
      <c r="F7" s="3" t="s">
        <v>1172</v>
      </c>
      <c r="G7" s="3" t="s">
        <v>154</v>
      </c>
      <c r="H7" s="3" t="s">
        <v>1161</v>
      </c>
      <c r="I7" s="3" t="s">
        <v>1162</v>
      </c>
      <c r="J7" s="3" t="s">
        <v>557</v>
      </c>
      <c r="K7" s="3">
        <v>227.31</v>
      </c>
      <c r="L7" s="3">
        <v>7659.2</v>
      </c>
      <c r="M7" s="3">
        <v>1741012.75</v>
      </c>
      <c r="N7" s="3">
        <v>0.25</v>
      </c>
      <c r="O7" s="3">
        <v>435.25319000000002</v>
      </c>
      <c r="P7" s="3">
        <v>2656.6</v>
      </c>
      <c r="Q7" s="3">
        <v>37652.6</v>
      </c>
      <c r="R7" s="3">
        <v>0.60129999999999995</v>
      </c>
      <c r="S7" s="3">
        <v>22.640509999999999</v>
      </c>
      <c r="T7" s="3">
        <v>457.89370000000002</v>
      </c>
    </row>
    <row r="8" spans="1:20" x14ac:dyDescent="0.25">
      <c r="A8" s="2">
        <v>5</v>
      </c>
      <c r="B8" s="2">
        <v>2023</v>
      </c>
      <c r="C8" s="2" t="s">
        <v>22</v>
      </c>
      <c r="D8" s="2" t="s">
        <v>1173</v>
      </c>
      <c r="E8" s="2" t="s">
        <v>106</v>
      </c>
      <c r="F8" s="2" t="s">
        <v>1160</v>
      </c>
      <c r="G8" s="2" t="s">
        <v>58</v>
      </c>
      <c r="H8" s="2" t="s">
        <v>1174</v>
      </c>
      <c r="I8" s="2" t="s">
        <v>553</v>
      </c>
      <c r="J8" s="2" t="s">
        <v>1163</v>
      </c>
      <c r="K8" s="2">
        <v>82.56</v>
      </c>
      <c r="L8" s="2">
        <v>1662.3</v>
      </c>
      <c r="M8" s="2">
        <v>137239.49</v>
      </c>
      <c r="N8" s="2">
        <v>0.1</v>
      </c>
      <c r="O8" s="2">
        <v>13.72395</v>
      </c>
      <c r="P8" s="2">
        <v>4165.5</v>
      </c>
      <c r="Q8" s="2">
        <v>42026.400000000001</v>
      </c>
      <c r="R8" s="2">
        <v>0.63980000000000004</v>
      </c>
      <c r="S8" s="2">
        <v>26.888490000000001</v>
      </c>
      <c r="T8" s="2">
        <v>40.612439999999999</v>
      </c>
    </row>
    <row r="9" spans="1:20" x14ac:dyDescent="0.25">
      <c r="A9" s="3">
        <v>6</v>
      </c>
      <c r="B9" s="3">
        <v>2023</v>
      </c>
      <c r="C9" s="3" t="s">
        <v>32</v>
      </c>
      <c r="D9" s="3" t="s">
        <v>1175</v>
      </c>
      <c r="E9" s="3" t="s">
        <v>26</v>
      </c>
      <c r="F9" s="3" t="s">
        <v>1160</v>
      </c>
      <c r="G9" s="3" t="s">
        <v>88</v>
      </c>
      <c r="H9" s="3" t="s">
        <v>1176</v>
      </c>
      <c r="I9" s="3" t="s">
        <v>1162</v>
      </c>
      <c r="J9" s="3" t="s">
        <v>1177</v>
      </c>
      <c r="K9" s="3">
        <v>13.59</v>
      </c>
      <c r="L9" s="3">
        <v>6898.6</v>
      </c>
      <c r="M9" s="3">
        <v>93751.97</v>
      </c>
      <c r="N9" s="3">
        <v>0.25</v>
      </c>
      <c r="O9" s="3">
        <v>23.437989999999999</v>
      </c>
      <c r="P9" s="3">
        <v>214</v>
      </c>
      <c r="Q9" s="3">
        <v>22132.400000000001</v>
      </c>
      <c r="R9" s="3">
        <v>0.5575</v>
      </c>
      <c r="S9" s="3">
        <v>12.33881</v>
      </c>
      <c r="T9" s="3">
        <v>35.776800000000001</v>
      </c>
    </row>
    <row r="10" spans="1:20" x14ac:dyDescent="0.25">
      <c r="A10" s="2">
        <v>7</v>
      </c>
      <c r="B10" s="2">
        <v>2023</v>
      </c>
      <c r="C10" s="2" t="s">
        <v>39</v>
      </c>
      <c r="D10" s="2" t="s">
        <v>1178</v>
      </c>
      <c r="E10" s="2" t="s">
        <v>106</v>
      </c>
      <c r="F10" s="2" t="s">
        <v>1179</v>
      </c>
      <c r="G10" s="2" t="s">
        <v>117</v>
      </c>
      <c r="H10" s="2" t="s">
        <v>1176</v>
      </c>
      <c r="I10" s="2" t="s">
        <v>553</v>
      </c>
      <c r="J10" s="2" t="s">
        <v>557</v>
      </c>
      <c r="K10" s="2">
        <v>34.479999999999997</v>
      </c>
      <c r="L10" s="2">
        <v>812.7</v>
      </c>
      <c r="M10" s="2">
        <v>28021.9</v>
      </c>
      <c r="N10" s="2">
        <v>0.1</v>
      </c>
      <c r="O10" s="2">
        <v>2.80219</v>
      </c>
      <c r="P10" s="2">
        <v>924</v>
      </c>
      <c r="Q10" s="2">
        <v>7629.7</v>
      </c>
      <c r="R10" s="2">
        <v>0.4778</v>
      </c>
      <c r="S10" s="2">
        <v>3.64547</v>
      </c>
      <c r="T10" s="2">
        <v>6.4476599999999999</v>
      </c>
    </row>
    <row r="11" spans="1:20" x14ac:dyDescent="0.25">
      <c r="A11" s="3">
        <v>8</v>
      </c>
      <c r="B11" s="3">
        <v>2023</v>
      </c>
      <c r="C11" s="3" t="s">
        <v>46</v>
      </c>
      <c r="D11" s="3" t="s">
        <v>1180</v>
      </c>
      <c r="E11" s="3" t="s">
        <v>112</v>
      </c>
      <c r="F11" s="3" t="s">
        <v>1179</v>
      </c>
      <c r="G11" s="3" t="s">
        <v>33</v>
      </c>
      <c r="H11" s="3" t="s">
        <v>1174</v>
      </c>
      <c r="I11" s="3" t="s">
        <v>553</v>
      </c>
      <c r="J11" s="3" t="s">
        <v>1177</v>
      </c>
      <c r="K11" s="3">
        <v>184.38</v>
      </c>
      <c r="L11" s="3">
        <v>2615.8000000000002</v>
      </c>
      <c r="M11" s="3">
        <v>482301.2</v>
      </c>
      <c r="N11" s="3">
        <v>0.1</v>
      </c>
      <c r="O11" s="3">
        <v>48.230119999999999</v>
      </c>
      <c r="P11" s="3">
        <v>233.1</v>
      </c>
      <c r="Q11" s="3">
        <v>3395.8</v>
      </c>
      <c r="R11" s="3">
        <v>0.54500000000000004</v>
      </c>
      <c r="S11" s="3">
        <v>1.8507100000000001</v>
      </c>
      <c r="T11" s="3">
        <v>50.080829999999999</v>
      </c>
    </row>
    <row r="12" spans="1:20" x14ac:dyDescent="0.25">
      <c r="A12" s="2">
        <v>9</v>
      </c>
      <c r="B12" s="2">
        <v>2023</v>
      </c>
      <c r="C12" s="2" t="s">
        <v>22</v>
      </c>
      <c r="D12" s="2" t="s">
        <v>1181</v>
      </c>
      <c r="E12" s="2" t="s">
        <v>143</v>
      </c>
      <c r="F12" s="2" t="s">
        <v>1182</v>
      </c>
      <c r="G12" s="2" t="s">
        <v>139</v>
      </c>
      <c r="H12" s="2" t="s">
        <v>1161</v>
      </c>
      <c r="I12" s="2" t="s">
        <v>560</v>
      </c>
      <c r="J12" s="2" t="s">
        <v>1163</v>
      </c>
      <c r="K12" s="2">
        <v>282.48</v>
      </c>
      <c r="L12" s="2">
        <v>7198</v>
      </c>
      <c r="M12" s="2">
        <v>2033291.04</v>
      </c>
      <c r="N12" s="2">
        <v>0.8</v>
      </c>
      <c r="O12" s="2">
        <v>1626.63283</v>
      </c>
      <c r="P12" s="2">
        <v>354.2</v>
      </c>
      <c r="Q12" s="2">
        <v>12361.3</v>
      </c>
      <c r="R12" s="2">
        <v>0.64849999999999997</v>
      </c>
      <c r="S12" s="2">
        <v>8.0162999999999993</v>
      </c>
      <c r="T12" s="2">
        <v>1634.64913</v>
      </c>
    </row>
    <row r="13" spans="1:20" x14ac:dyDescent="0.25">
      <c r="A13" s="3">
        <v>10</v>
      </c>
      <c r="B13" s="3">
        <v>2023</v>
      </c>
      <c r="C13" s="3" t="s">
        <v>32</v>
      </c>
      <c r="D13" s="3" t="s">
        <v>1183</v>
      </c>
      <c r="E13" s="3" t="s">
        <v>67</v>
      </c>
      <c r="F13" s="3" t="s">
        <v>1179</v>
      </c>
      <c r="G13" s="3" t="s">
        <v>70</v>
      </c>
      <c r="H13" s="3" t="s">
        <v>1166</v>
      </c>
      <c r="I13" s="3" t="s">
        <v>553</v>
      </c>
      <c r="J13" s="3" t="s">
        <v>1177</v>
      </c>
      <c r="K13" s="3">
        <v>80.86</v>
      </c>
      <c r="L13" s="3">
        <v>2560.3000000000002</v>
      </c>
      <c r="M13" s="3">
        <v>207025.86</v>
      </c>
      <c r="N13" s="3">
        <v>0.1</v>
      </c>
      <c r="O13" s="3">
        <v>20.702590000000001</v>
      </c>
      <c r="P13" s="3">
        <v>2810.3</v>
      </c>
      <c r="Q13" s="3">
        <v>3740.2</v>
      </c>
      <c r="R13" s="3">
        <v>0.36449999999999999</v>
      </c>
      <c r="S13" s="3">
        <v>1.3633</v>
      </c>
      <c r="T13" s="3">
        <v>22.06589</v>
      </c>
    </row>
    <row r="14" spans="1:20" x14ac:dyDescent="0.25">
      <c r="A14" s="2">
        <v>11</v>
      </c>
      <c r="B14" s="2">
        <v>2023</v>
      </c>
      <c r="C14" s="2" t="s">
        <v>39</v>
      </c>
      <c r="D14" s="2" t="s">
        <v>1184</v>
      </c>
      <c r="E14" s="2" t="s">
        <v>72</v>
      </c>
      <c r="F14" s="2" t="s">
        <v>1160</v>
      </c>
      <c r="G14" s="2" t="s">
        <v>33</v>
      </c>
      <c r="H14" s="2" t="s">
        <v>1176</v>
      </c>
      <c r="I14" s="2" t="s">
        <v>1162</v>
      </c>
      <c r="J14" s="2" t="s">
        <v>578</v>
      </c>
      <c r="K14" s="2">
        <v>289.05</v>
      </c>
      <c r="L14" s="2">
        <v>5407.3</v>
      </c>
      <c r="M14" s="2">
        <v>1562980.07</v>
      </c>
      <c r="N14" s="2">
        <v>0.25</v>
      </c>
      <c r="O14" s="2">
        <v>390.74502000000001</v>
      </c>
      <c r="P14" s="2">
        <v>1306.9000000000001</v>
      </c>
      <c r="Q14" s="2">
        <v>27958</v>
      </c>
      <c r="R14" s="2">
        <v>0.74260000000000004</v>
      </c>
      <c r="S14" s="2">
        <v>20.761610000000001</v>
      </c>
      <c r="T14" s="2">
        <v>411.50662999999997</v>
      </c>
    </row>
    <row r="15" spans="1:20" ht="24" x14ac:dyDescent="0.25">
      <c r="A15" s="3">
        <v>12</v>
      </c>
      <c r="B15" s="3">
        <v>2023</v>
      </c>
      <c r="C15" s="3" t="s">
        <v>46</v>
      </c>
      <c r="D15" s="3" t="s">
        <v>1185</v>
      </c>
      <c r="E15" s="3" t="s">
        <v>143</v>
      </c>
      <c r="F15" s="3" t="s">
        <v>1160</v>
      </c>
      <c r="G15" s="3" t="s">
        <v>33</v>
      </c>
      <c r="H15" s="3" t="s">
        <v>1161</v>
      </c>
      <c r="I15" s="3" t="s">
        <v>1169</v>
      </c>
      <c r="J15" s="3" t="s">
        <v>1186</v>
      </c>
      <c r="K15" s="3">
        <v>150.18</v>
      </c>
      <c r="L15" s="3">
        <v>6267.4</v>
      </c>
      <c r="M15" s="3">
        <v>941238.13</v>
      </c>
      <c r="N15" s="3">
        <v>6.2E-2</v>
      </c>
      <c r="O15" s="3">
        <v>58.356760000000001</v>
      </c>
      <c r="P15" s="3">
        <v>797.6</v>
      </c>
      <c r="Q15" s="3">
        <v>27251.8</v>
      </c>
      <c r="R15" s="3">
        <v>0.43409999999999999</v>
      </c>
      <c r="S15" s="3">
        <v>11.83001</v>
      </c>
      <c r="T15" s="3">
        <v>70.186769999999996</v>
      </c>
    </row>
    <row r="16" spans="1:20" x14ac:dyDescent="0.25">
      <c r="A16" s="2">
        <v>13</v>
      </c>
      <c r="B16" s="2">
        <v>2023</v>
      </c>
      <c r="C16" s="2" t="s">
        <v>22</v>
      </c>
      <c r="D16" s="2" t="s">
        <v>1187</v>
      </c>
      <c r="E16" s="2" t="s">
        <v>89</v>
      </c>
      <c r="F16" s="2" t="s">
        <v>1172</v>
      </c>
      <c r="G16" s="2" t="s">
        <v>70</v>
      </c>
      <c r="H16" s="2" t="s">
        <v>1176</v>
      </c>
      <c r="I16" s="2" t="s">
        <v>553</v>
      </c>
      <c r="J16" s="2" t="s">
        <v>1177</v>
      </c>
      <c r="K16" s="2">
        <v>0.4</v>
      </c>
      <c r="L16" s="2">
        <v>3727.9</v>
      </c>
      <c r="M16" s="2">
        <v>1491.16</v>
      </c>
      <c r="N16" s="2">
        <v>0.1</v>
      </c>
      <c r="O16" s="2">
        <v>0.14912</v>
      </c>
      <c r="P16" s="2">
        <v>4163.8999999999996</v>
      </c>
      <c r="Q16" s="2">
        <v>14817.8</v>
      </c>
      <c r="R16" s="2">
        <v>0.83599999999999997</v>
      </c>
      <c r="S16" s="2">
        <v>12.38768</v>
      </c>
      <c r="T16" s="2">
        <v>12.536799999999999</v>
      </c>
    </row>
    <row r="17" spans="1:20" x14ac:dyDescent="0.25">
      <c r="A17" s="3">
        <v>14</v>
      </c>
      <c r="B17" s="3">
        <v>2023</v>
      </c>
      <c r="C17" s="3" t="s">
        <v>32</v>
      </c>
      <c r="D17" s="3" t="s">
        <v>1188</v>
      </c>
      <c r="E17" s="3" t="s">
        <v>26</v>
      </c>
      <c r="F17" s="3" t="s">
        <v>1160</v>
      </c>
      <c r="G17" s="3" t="s">
        <v>117</v>
      </c>
      <c r="H17" s="3" t="s">
        <v>1166</v>
      </c>
      <c r="I17" s="3" t="s">
        <v>1162</v>
      </c>
      <c r="J17" s="3" t="s">
        <v>557</v>
      </c>
      <c r="K17" s="3">
        <v>75.34</v>
      </c>
      <c r="L17" s="3">
        <v>5446.4</v>
      </c>
      <c r="M17" s="3">
        <v>410331.78</v>
      </c>
      <c r="N17" s="3">
        <v>0.25</v>
      </c>
      <c r="O17" s="3">
        <v>102.58295</v>
      </c>
      <c r="P17" s="3">
        <v>4996.3</v>
      </c>
      <c r="Q17" s="3">
        <v>42200.7</v>
      </c>
      <c r="R17" s="3">
        <v>0.45639999999999997</v>
      </c>
      <c r="S17" s="3">
        <v>19.260400000000001</v>
      </c>
      <c r="T17" s="3">
        <v>121.84335</v>
      </c>
    </row>
    <row r="18" spans="1:20" ht="24" x14ac:dyDescent="0.25">
      <c r="A18" s="2">
        <v>15</v>
      </c>
      <c r="B18" s="2">
        <v>2023</v>
      </c>
      <c r="C18" s="2" t="s">
        <v>39</v>
      </c>
      <c r="D18" s="2" t="s">
        <v>1189</v>
      </c>
      <c r="E18" s="2" t="s">
        <v>140</v>
      </c>
      <c r="F18" s="2" t="s">
        <v>1160</v>
      </c>
      <c r="G18" s="2" t="s">
        <v>117</v>
      </c>
      <c r="H18" s="2" t="s">
        <v>1176</v>
      </c>
      <c r="I18" s="2" t="s">
        <v>1169</v>
      </c>
      <c r="J18" s="2" t="s">
        <v>1190</v>
      </c>
      <c r="K18" s="2">
        <v>160.27000000000001</v>
      </c>
      <c r="L18" s="2">
        <v>578.1</v>
      </c>
      <c r="M18" s="2">
        <v>92652.09</v>
      </c>
      <c r="N18" s="2">
        <v>6.2E-2</v>
      </c>
      <c r="O18" s="2">
        <v>5.7444300000000004</v>
      </c>
      <c r="P18" s="2">
        <v>539.6</v>
      </c>
      <c r="Q18" s="2">
        <v>35072.300000000003</v>
      </c>
      <c r="R18" s="2">
        <v>0.76519999999999999</v>
      </c>
      <c r="S18" s="2">
        <v>26.837319999999998</v>
      </c>
      <c r="T18" s="2">
        <v>32.58175</v>
      </c>
    </row>
    <row r="19" spans="1:20" x14ac:dyDescent="0.25">
      <c r="A19" s="3">
        <v>16</v>
      </c>
      <c r="B19" s="3">
        <v>2023</v>
      </c>
      <c r="C19" s="3" t="s">
        <v>46</v>
      </c>
      <c r="D19" s="3" t="s">
        <v>1191</v>
      </c>
      <c r="E19" s="3" t="s">
        <v>42</v>
      </c>
      <c r="F19" s="3" t="s">
        <v>1182</v>
      </c>
      <c r="G19" s="3" t="s">
        <v>117</v>
      </c>
      <c r="H19" s="3" t="s">
        <v>1168</v>
      </c>
      <c r="I19" s="3" t="s">
        <v>1162</v>
      </c>
      <c r="J19" s="3" t="s">
        <v>1192</v>
      </c>
      <c r="K19" s="3">
        <v>151.5</v>
      </c>
      <c r="L19" s="3">
        <v>6420.4</v>
      </c>
      <c r="M19" s="3">
        <v>972690.6</v>
      </c>
      <c r="N19" s="3">
        <v>0.25</v>
      </c>
      <c r="O19" s="3">
        <v>243.17265</v>
      </c>
      <c r="P19" s="3">
        <v>4431.3</v>
      </c>
      <c r="Q19" s="3">
        <v>47297.7</v>
      </c>
      <c r="R19" s="3">
        <v>0.66759999999999997</v>
      </c>
      <c r="S19" s="3">
        <v>31.575939999999999</v>
      </c>
      <c r="T19" s="3">
        <v>274.74858999999998</v>
      </c>
    </row>
    <row r="20" spans="1:20" x14ac:dyDescent="0.25">
      <c r="A20" s="2">
        <v>17</v>
      </c>
      <c r="B20" s="2">
        <v>2023</v>
      </c>
      <c r="C20" s="2" t="s">
        <v>22</v>
      </c>
      <c r="D20" s="2" t="s">
        <v>1193</v>
      </c>
      <c r="E20" s="2" t="s">
        <v>35</v>
      </c>
      <c r="F20" s="2" t="s">
        <v>1172</v>
      </c>
      <c r="G20" s="2" t="s">
        <v>58</v>
      </c>
      <c r="H20" s="2" t="s">
        <v>1176</v>
      </c>
      <c r="I20" s="2" t="s">
        <v>570</v>
      </c>
      <c r="J20" s="2" t="s">
        <v>576</v>
      </c>
      <c r="K20" s="2">
        <v>63.27</v>
      </c>
      <c r="L20" s="2">
        <v>7672.8</v>
      </c>
      <c r="M20" s="2">
        <v>485458.06</v>
      </c>
      <c r="N20" s="2">
        <v>1.2E-2</v>
      </c>
      <c r="O20" s="2">
        <v>5.8254999999999999</v>
      </c>
      <c r="P20" s="2">
        <v>1709.4</v>
      </c>
      <c r="Q20" s="2">
        <v>45743.9</v>
      </c>
      <c r="R20" s="2">
        <v>0.41689999999999999</v>
      </c>
      <c r="S20" s="2">
        <v>19.070630000000001</v>
      </c>
      <c r="T20" s="2">
        <v>24.896129999999999</v>
      </c>
    </row>
    <row r="21" spans="1:20" x14ac:dyDescent="0.25">
      <c r="A21" s="3">
        <v>18</v>
      </c>
      <c r="B21" s="3">
        <v>2023</v>
      </c>
      <c r="C21" s="3" t="s">
        <v>32</v>
      </c>
      <c r="D21" s="3" t="s">
        <v>1194</v>
      </c>
      <c r="E21" s="3" t="s">
        <v>198</v>
      </c>
      <c r="F21" s="3" t="s">
        <v>1172</v>
      </c>
      <c r="G21" s="3" t="s">
        <v>92</v>
      </c>
      <c r="H21" s="3" t="s">
        <v>1166</v>
      </c>
      <c r="I21" s="3" t="s">
        <v>553</v>
      </c>
      <c r="J21" s="3" t="s">
        <v>1170</v>
      </c>
      <c r="K21" s="3">
        <v>201.84</v>
      </c>
      <c r="L21" s="3">
        <v>3317</v>
      </c>
      <c r="M21" s="3">
        <v>669503.28</v>
      </c>
      <c r="N21" s="3">
        <v>0.1</v>
      </c>
      <c r="O21" s="3">
        <v>66.950329999999994</v>
      </c>
      <c r="P21" s="3">
        <v>4486.8</v>
      </c>
      <c r="Q21" s="3">
        <v>35313.300000000003</v>
      </c>
      <c r="R21" s="3">
        <v>0.73119999999999996</v>
      </c>
      <c r="S21" s="3">
        <v>25.821079999999998</v>
      </c>
      <c r="T21" s="3">
        <v>92.771410000000003</v>
      </c>
    </row>
    <row r="22" spans="1:20" x14ac:dyDescent="0.25">
      <c r="A22" s="2">
        <v>19</v>
      </c>
      <c r="B22" s="2">
        <v>2023</v>
      </c>
      <c r="C22" s="2" t="s">
        <v>39</v>
      </c>
      <c r="D22" s="2" t="s">
        <v>1195</v>
      </c>
      <c r="E22" s="2" t="s">
        <v>128</v>
      </c>
      <c r="F22" s="2" t="s">
        <v>1160</v>
      </c>
      <c r="G22" s="2" t="s">
        <v>88</v>
      </c>
      <c r="H22" s="2" t="s">
        <v>1176</v>
      </c>
      <c r="I22" s="2" t="s">
        <v>553</v>
      </c>
      <c r="J22" s="2" t="s">
        <v>557</v>
      </c>
      <c r="K22" s="2">
        <v>267.77999999999997</v>
      </c>
      <c r="L22" s="2">
        <v>6532.1</v>
      </c>
      <c r="M22" s="2">
        <v>1749165.74</v>
      </c>
      <c r="N22" s="2">
        <v>0.1</v>
      </c>
      <c r="O22" s="2">
        <v>174.91657000000001</v>
      </c>
      <c r="P22" s="2">
        <v>2281.4</v>
      </c>
      <c r="Q22" s="2">
        <v>6609.1</v>
      </c>
      <c r="R22" s="2">
        <v>0.83599999999999997</v>
      </c>
      <c r="S22" s="2">
        <v>5.5252100000000004</v>
      </c>
      <c r="T22" s="2">
        <v>180.44177999999999</v>
      </c>
    </row>
    <row r="23" spans="1:20" ht="24" x14ac:dyDescent="0.25">
      <c r="A23" s="3">
        <v>20</v>
      </c>
      <c r="B23" s="3">
        <v>2023</v>
      </c>
      <c r="C23" s="3" t="s">
        <v>46</v>
      </c>
      <c r="D23" s="3" t="s">
        <v>1196</v>
      </c>
      <c r="E23" s="3" t="s">
        <v>140</v>
      </c>
      <c r="F23" s="3" t="s">
        <v>1172</v>
      </c>
      <c r="G23" s="3" t="s">
        <v>92</v>
      </c>
      <c r="H23" s="3" t="s">
        <v>1174</v>
      </c>
      <c r="I23" s="3" t="s">
        <v>1169</v>
      </c>
      <c r="J23" s="3" t="s">
        <v>1192</v>
      </c>
      <c r="K23" s="3">
        <v>295.14</v>
      </c>
      <c r="L23" s="3">
        <v>1015.6</v>
      </c>
      <c r="M23" s="3">
        <v>299744.18</v>
      </c>
      <c r="N23" s="3">
        <v>6.2E-2</v>
      </c>
      <c r="O23" s="3">
        <v>18.584140000000001</v>
      </c>
      <c r="P23" s="3">
        <v>1915.4</v>
      </c>
      <c r="Q23" s="3">
        <v>10053</v>
      </c>
      <c r="R23" s="3">
        <v>0.35470000000000002</v>
      </c>
      <c r="S23" s="3">
        <v>3.5657999999999999</v>
      </c>
      <c r="T23" s="3">
        <v>22.149940000000001</v>
      </c>
    </row>
    <row r="24" spans="1:20" x14ac:dyDescent="0.25">
      <c r="A24" s="2">
        <v>21</v>
      </c>
      <c r="B24" s="2">
        <v>2023</v>
      </c>
      <c r="C24" s="2" t="s">
        <v>22</v>
      </c>
      <c r="D24" s="2" t="s">
        <v>1197</v>
      </c>
      <c r="E24" s="2" t="s">
        <v>99</v>
      </c>
      <c r="F24" s="2" t="s">
        <v>1165</v>
      </c>
      <c r="G24" s="2" t="s">
        <v>120</v>
      </c>
      <c r="H24" s="2" t="s">
        <v>1174</v>
      </c>
      <c r="I24" s="2" t="s">
        <v>548</v>
      </c>
      <c r="J24" s="2" t="s">
        <v>1186</v>
      </c>
      <c r="K24" s="2">
        <v>27.08</v>
      </c>
      <c r="L24" s="2">
        <v>4915.3</v>
      </c>
      <c r="M24" s="2">
        <v>133106.32</v>
      </c>
      <c r="N24" s="2">
        <v>2.8000000000000001E-2</v>
      </c>
      <c r="O24" s="2">
        <v>3.7269800000000002</v>
      </c>
      <c r="P24" s="2">
        <v>1585.6</v>
      </c>
      <c r="Q24" s="2">
        <v>36031.599999999999</v>
      </c>
      <c r="R24" s="2">
        <v>0.46710000000000002</v>
      </c>
      <c r="S24" s="2">
        <v>16.830359999999999</v>
      </c>
      <c r="T24" s="2">
        <v>20.55734</v>
      </c>
    </row>
    <row r="25" spans="1:20" ht="24" x14ac:dyDescent="0.25">
      <c r="A25" s="3">
        <v>22</v>
      </c>
      <c r="B25" s="3">
        <v>2023</v>
      </c>
      <c r="C25" s="3" t="s">
        <v>32</v>
      </c>
      <c r="D25" s="3" t="s">
        <v>1198</v>
      </c>
      <c r="E25" s="3" t="s">
        <v>26</v>
      </c>
      <c r="F25" s="3" t="s">
        <v>1165</v>
      </c>
      <c r="G25" s="3" t="s">
        <v>58</v>
      </c>
      <c r="H25" s="3" t="s">
        <v>1161</v>
      </c>
      <c r="I25" s="3" t="s">
        <v>1169</v>
      </c>
      <c r="J25" s="3" t="s">
        <v>1186</v>
      </c>
      <c r="K25" s="3">
        <v>212.12</v>
      </c>
      <c r="L25" s="3">
        <v>1688.5</v>
      </c>
      <c r="M25" s="3">
        <v>358164.62</v>
      </c>
      <c r="N25" s="3">
        <v>6.2E-2</v>
      </c>
      <c r="O25" s="3">
        <v>22.206209999999999</v>
      </c>
      <c r="P25" s="3">
        <v>1060.8</v>
      </c>
      <c r="Q25" s="3">
        <v>41145.599999999999</v>
      </c>
      <c r="R25" s="3">
        <v>0.54800000000000004</v>
      </c>
      <c r="S25" s="3">
        <v>22.547789999999999</v>
      </c>
      <c r="T25" s="3">
        <v>44.753999999999998</v>
      </c>
    </row>
    <row r="26" spans="1:20" x14ac:dyDescent="0.25">
      <c r="A26" s="2">
        <v>23</v>
      </c>
      <c r="B26" s="2">
        <v>2023</v>
      </c>
      <c r="C26" s="2" t="s">
        <v>39</v>
      </c>
      <c r="D26" s="2" t="s">
        <v>1199</v>
      </c>
      <c r="E26" s="2" t="s">
        <v>106</v>
      </c>
      <c r="F26" s="2" t="s">
        <v>1160</v>
      </c>
      <c r="G26" s="2" t="s">
        <v>110</v>
      </c>
      <c r="H26" s="2" t="s">
        <v>1166</v>
      </c>
      <c r="I26" s="2" t="s">
        <v>548</v>
      </c>
      <c r="J26" s="2" t="s">
        <v>557</v>
      </c>
      <c r="K26" s="2">
        <v>165.58</v>
      </c>
      <c r="L26" s="2">
        <v>5285.5</v>
      </c>
      <c r="M26" s="2">
        <v>875173.09</v>
      </c>
      <c r="N26" s="2">
        <v>2.8000000000000001E-2</v>
      </c>
      <c r="O26" s="2">
        <v>24.504850000000001</v>
      </c>
      <c r="P26" s="2">
        <v>2872</v>
      </c>
      <c r="Q26" s="2">
        <v>34278</v>
      </c>
      <c r="R26" s="2">
        <v>0.63260000000000005</v>
      </c>
      <c r="S26" s="2">
        <v>21.684259999999998</v>
      </c>
      <c r="T26" s="2">
        <v>46.189109999999999</v>
      </c>
    </row>
    <row r="27" spans="1:20" x14ac:dyDescent="0.25">
      <c r="A27" s="3">
        <v>24</v>
      </c>
      <c r="B27" s="3">
        <v>2023</v>
      </c>
      <c r="C27" s="3" t="s">
        <v>46</v>
      </c>
      <c r="D27" s="3" t="s">
        <v>1200</v>
      </c>
      <c r="E27" s="3" t="s">
        <v>26</v>
      </c>
      <c r="F27" s="3" t="s">
        <v>1172</v>
      </c>
      <c r="G27" s="3" t="s">
        <v>96</v>
      </c>
      <c r="H27" s="3" t="s">
        <v>1161</v>
      </c>
      <c r="I27" s="3" t="s">
        <v>570</v>
      </c>
      <c r="J27" s="3" t="s">
        <v>1177</v>
      </c>
      <c r="K27" s="3">
        <v>280.08</v>
      </c>
      <c r="L27" s="3">
        <v>6846.7</v>
      </c>
      <c r="M27" s="3">
        <v>1917623.74</v>
      </c>
      <c r="N27" s="3">
        <v>1.2E-2</v>
      </c>
      <c r="O27" s="3">
        <v>23.011479999999999</v>
      </c>
      <c r="P27" s="3">
        <v>4416.8999999999996</v>
      </c>
      <c r="Q27" s="3">
        <v>36580.5</v>
      </c>
      <c r="R27" s="3">
        <v>0.48720000000000002</v>
      </c>
      <c r="S27" s="3">
        <v>17.822019999999998</v>
      </c>
      <c r="T27" s="3">
        <v>40.833500000000001</v>
      </c>
    </row>
    <row r="28" spans="1:20" ht="24" x14ac:dyDescent="0.25">
      <c r="A28" s="2">
        <v>25</v>
      </c>
      <c r="B28" s="2">
        <v>2023</v>
      </c>
      <c r="C28" s="2" t="s">
        <v>22</v>
      </c>
      <c r="D28" s="2" t="s">
        <v>1201</v>
      </c>
      <c r="E28" s="2" t="s">
        <v>89</v>
      </c>
      <c r="F28" s="2" t="s">
        <v>1165</v>
      </c>
      <c r="G28" s="2" t="s">
        <v>33</v>
      </c>
      <c r="H28" s="2" t="s">
        <v>1176</v>
      </c>
      <c r="I28" s="2" t="s">
        <v>1169</v>
      </c>
      <c r="J28" s="2" t="s">
        <v>1177</v>
      </c>
      <c r="K28" s="2">
        <v>168.08</v>
      </c>
      <c r="L28" s="2">
        <v>3642.3</v>
      </c>
      <c r="M28" s="2">
        <v>612197.78</v>
      </c>
      <c r="N28" s="2">
        <v>6.2E-2</v>
      </c>
      <c r="O28" s="2">
        <v>37.95626</v>
      </c>
      <c r="P28" s="2">
        <v>4695.7</v>
      </c>
      <c r="Q28" s="2">
        <v>32227.8</v>
      </c>
      <c r="R28" s="2">
        <v>0.82150000000000001</v>
      </c>
      <c r="S28" s="2">
        <v>26.47514</v>
      </c>
      <c r="T28" s="2">
        <v>64.431399999999996</v>
      </c>
    </row>
    <row r="29" spans="1:20" x14ac:dyDescent="0.25">
      <c r="A29" s="3">
        <v>26</v>
      </c>
      <c r="B29" s="3">
        <v>2023</v>
      </c>
      <c r="C29" s="3" t="s">
        <v>32</v>
      </c>
      <c r="D29" s="3" t="s">
        <v>1202</v>
      </c>
      <c r="E29" s="3" t="s">
        <v>143</v>
      </c>
      <c r="F29" s="3" t="s">
        <v>1172</v>
      </c>
      <c r="G29" s="3" t="s">
        <v>117</v>
      </c>
      <c r="H29" s="3" t="s">
        <v>1176</v>
      </c>
      <c r="I29" s="3" t="s">
        <v>553</v>
      </c>
      <c r="J29" s="3" t="s">
        <v>1170</v>
      </c>
      <c r="K29" s="3">
        <v>204.08</v>
      </c>
      <c r="L29" s="3">
        <v>3743.4</v>
      </c>
      <c r="M29" s="3">
        <v>763953.07</v>
      </c>
      <c r="N29" s="3">
        <v>0.1</v>
      </c>
      <c r="O29" s="3">
        <v>76.395309999999995</v>
      </c>
      <c r="P29" s="3">
        <v>1871.2</v>
      </c>
      <c r="Q29" s="3">
        <v>38071.599999999999</v>
      </c>
      <c r="R29" s="3">
        <v>0.79190000000000005</v>
      </c>
      <c r="S29" s="3">
        <v>30.148900000000001</v>
      </c>
      <c r="T29" s="3">
        <v>106.54421000000001</v>
      </c>
    </row>
    <row r="30" spans="1:20" x14ac:dyDescent="0.25">
      <c r="A30" s="2">
        <v>27</v>
      </c>
      <c r="B30" s="2">
        <v>2023</v>
      </c>
      <c r="C30" s="2" t="s">
        <v>39</v>
      </c>
      <c r="D30" s="2" t="s">
        <v>1203</v>
      </c>
      <c r="E30" s="2" t="s">
        <v>140</v>
      </c>
      <c r="F30" s="2" t="s">
        <v>1179</v>
      </c>
      <c r="G30" s="2" t="s">
        <v>96</v>
      </c>
      <c r="H30" s="2" t="s">
        <v>1176</v>
      </c>
      <c r="I30" s="2" t="s">
        <v>560</v>
      </c>
      <c r="J30" s="2" t="s">
        <v>578</v>
      </c>
      <c r="K30" s="2">
        <v>94.94</v>
      </c>
      <c r="L30" s="2">
        <v>3147</v>
      </c>
      <c r="M30" s="2">
        <v>298776.18</v>
      </c>
      <c r="N30" s="2">
        <v>0.8</v>
      </c>
      <c r="O30" s="2">
        <v>239.02094</v>
      </c>
      <c r="P30" s="2">
        <v>1740.1</v>
      </c>
      <c r="Q30" s="2">
        <v>44064.9</v>
      </c>
      <c r="R30" s="2">
        <v>0.75380000000000003</v>
      </c>
      <c r="S30" s="2">
        <v>33.216119999999997</v>
      </c>
      <c r="T30" s="2">
        <v>272.23705999999999</v>
      </c>
    </row>
    <row r="31" spans="1:20" x14ac:dyDescent="0.25">
      <c r="A31" s="3">
        <v>28</v>
      </c>
      <c r="B31" s="3">
        <v>2023</v>
      </c>
      <c r="C31" s="3" t="s">
        <v>46</v>
      </c>
      <c r="D31" s="3" t="s">
        <v>1204</v>
      </c>
      <c r="E31" s="3" t="s">
        <v>128</v>
      </c>
      <c r="F31" s="3" t="s">
        <v>1172</v>
      </c>
      <c r="G31" s="3" t="s">
        <v>58</v>
      </c>
      <c r="H31" s="3" t="s">
        <v>1174</v>
      </c>
      <c r="I31" s="3" t="s">
        <v>548</v>
      </c>
      <c r="J31" s="3" t="s">
        <v>1177</v>
      </c>
      <c r="K31" s="3">
        <v>59.14</v>
      </c>
      <c r="L31" s="3">
        <v>2647.2</v>
      </c>
      <c r="M31" s="3">
        <v>156555.41</v>
      </c>
      <c r="N31" s="3">
        <v>2.8000000000000001E-2</v>
      </c>
      <c r="O31" s="3">
        <v>4.3835499999999996</v>
      </c>
      <c r="P31" s="3">
        <v>407.9</v>
      </c>
      <c r="Q31" s="3">
        <v>31452.1</v>
      </c>
      <c r="R31" s="3">
        <v>0.3639</v>
      </c>
      <c r="S31" s="3">
        <v>11.44542</v>
      </c>
      <c r="T31" s="3">
        <v>15.82897</v>
      </c>
    </row>
    <row r="32" spans="1:20" x14ac:dyDescent="0.25">
      <c r="A32" s="2">
        <v>29</v>
      </c>
      <c r="B32" s="2">
        <v>2023</v>
      </c>
      <c r="C32" s="2" t="s">
        <v>22</v>
      </c>
      <c r="D32" s="2" t="s">
        <v>1205</v>
      </c>
      <c r="E32" s="2" t="s">
        <v>42</v>
      </c>
      <c r="F32" s="2" t="s">
        <v>1179</v>
      </c>
      <c r="G32" s="2" t="s">
        <v>24</v>
      </c>
      <c r="H32" s="2" t="s">
        <v>1161</v>
      </c>
      <c r="I32" s="2" t="s">
        <v>548</v>
      </c>
      <c r="J32" s="2" t="s">
        <v>1186</v>
      </c>
      <c r="K32" s="2">
        <v>32.44</v>
      </c>
      <c r="L32" s="2">
        <v>1922.1</v>
      </c>
      <c r="M32" s="2">
        <v>62352.92</v>
      </c>
      <c r="N32" s="2">
        <v>2.8000000000000001E-2</v>
      </c>
      <c r="O32" s="2">
        <v>1.7458800000000001</v>
      </c>
      <c r="P32" s="2">
        <v>1769.9</v>
      </c>
      <c r="Q32" s="2">
        <v>3194.4</v>
      </c>
      <c r="R32" s="2">
        <v>0.51680000000000004</v>
      </c>
      <c r="S32" s="2">
        <v>1.6508700000000001</v>
      </c>
      <c r="T32" s="2">
        <v>3.3967499999999999</v>
      </c>
    </row>
    <row r="33" spans="1:20" x14ac:dyDescent="0.25">
      <c r="A33" s="3">
        <v>30</v>
      </c>
      <c r="B33" s="3">
        <v>2023</v>
      </c>
      <c r="C33" s="3" t="s">
        <v>32</v>
      </c>
      <c r="D33" s="3" t="s">
        <v>1206</v>
      </c>
      <c r="E33" s="3" t="s">
        <v>112</v>
      </c>
      <c r="F33" s="3" t="s">
        <v>1172</v>
      </c>
      <c r="G33" s="3" t="s">
        <v>92</v>
      </c>
      <c r="H33" s="3" t="s">
        <v>1168</v>
      </c>
      <c r="I33" s="3" t="s">
        <v>553</v>
      </c>
      <c r="J33" s="3" t="s">
        <v>576</v>
      </c>
      <c r="K33" s="3">
        <v>187.64</v>
      </c>
      <c r="L33" s="3">
        <v>4639.8999999999996</v>
      </c>
      <c r="M33" s="3">
        <v>870630.84</v>
      </c>
      <c r="N33" s="3">
        <v>0.1</v>
      </c>
      <c r="O33" s="3">
        <v>87.063079999999999</v>
      </c>
      <c r="P33" s="3">
        <v>519.1</v>
      </c>
      <c r="Q33" s="3">
        <v>3504</v>
      </c>
      <c r="R33" s="3">
        <v>0.36670000000000003</v>
      </c>
      <c r="S33" s="3">
        <v>1.2849200000000001</v>
      </c>
      <c r="T33" s="3">
        <v>88.347999999999999</v>
      </c>
    </row>
    <row r="34" spans="1:20" x14ac:dyDescent="0.25">
      <c r="A34" s="2">
        <v>31</v>
      </c>
      <c r="B34" s="2">
        <v>2023</v>
      </c>
      <c r="C34" s="2" t="s">
        <v>39</v>
      </c>
      <c r="D34" s="2" t="s">
        <v>1207</v>
      </c>
      <c r="E34" s="2" t="s">
        <v>89</v>
      </c>
      <c r="F34" s="2" t="s">
        <v>1165</v>
      </c>
      <c r="G34" s="2" t="s">
        <v>54</v>
      </c>
      <c r="H34" s="2" t="s">
        <v>1176</v>
      </c>
      <c r="I34" s="2" t="s">
        <v>560</v>
      </c>
      <c r="J34" s="2" t="s">
        <v>1163</v>
      </c>
      <c r="K34" s="2">
        <v>16.53</v>
      </c>
      <c r="L34" s="2">
        <v>4893.7</v>
      </c>
      <c r="M34" s="2">
        <v>80892.86</v>
      </c>
      <c r="N34" s="2">
        <v>0.8</v>
      </c>
      <c r="O34" s="2">
        <v>64.714290000000005</v>
      </c>
      <c r="P34" s="2">
        <v>2216</v>
      </c>
      <c r="Q34" s="2">
        <v>5540.5</v>
      </c>
      <c r="R34" s="2">
        <v>0.37790000000000001</v>
      </c>
      <c r="S34" s="2">
        <v>2.09375</v>
      </c>
      <c r="T34" s="2">
        <v>66.808040000000005</v>
      </c>
    </row>
    <row r="35" spans="1:20" x14ac:dyDescent="0.25">
      <c r="A35" s="3">
        <v>32</v>
      </c>
      <c r="B35" s="3">
        <v>2023</v>
      </c>
      <c r="C35" s="3" t="s">
        <v>46</v>
      </c>
      <c r="D35" s="3" t="s">
        <v>1208</v>
      </c>
      <c r="E35" s="3" t="s">
        <v>99</v>
      </c>
      <c r="F35" s="3" t="s">
        <v>1182</v>
      </c>
      <c r="G35" s="3" t="s">
        <v>204</v>
      </c>
      <c r="H35" s="3" t="s">
        <v>1176</v>
      </c>
      <c r="I35" s="3" t="s">
        <v>553</v>
      </c>
      <c r="J35" s="3" t="s">
        <v>578</v>
      </c>
      <c r="K35" s="3">
        <v>185.23</v>
      </c>
      <c r="L35" s="3">
        <v>3300.6</v>
      </c>
      <c r="M35" s="3">
        <v>611370.14</v>
      </c>
      <c r="N35" s="3">
        <v>0.1</v>
      </c>
      <c r="O35" s="3">
        <v>61.137009999999997</v>
      </c>
      <c r="P35" s="3">
        <v>4336.5</v>
      </c>
      <c r="Q35" s="3">
        <v>39480</v>
      </c>
      <c r="R35" s="3">
        <v>0.66200000000000003</v>
      </c>
      <c r="S35" s="3">
        <v>26.135760000000001</v>
      </c>
      <c r="T35" s="3">
        <v>87.272769999999994</v>
      </c>
    </row>
    <row r="36" spans="1:20" x14ac:dyDescent="0.25">
      <c r="A36" s="2">
        <v>33</v>
      </c>
      <c r="B36" s="2">
        <v>2023</v>
      </c>
      <c r="C36" s="2" t="s">
        <v>22</v>
      </c>
      <c r="D36" s="2" t="s">
        <v>1209</v>
      </c>
      <c r="E36" s="2" t="s">
        <v>106</v>
      </c>
      <c r="F36" s="2" t="s">
        <v>1172</v>
      </c>
      <c r="G36" s="2" t="s">
        <v>120</v>
      </c>
      <c r="H36" s="2" t="s">
        <v>1161</v>
      </c>
      <c r="I36" s="2" t="s">
        <v>570</v>
      </c>
      <c r="J36" s="2" t="s">
        <v>578</v>
      </c>
      <c r="K36" s="2">
        <v>195.31</v>
      </c>
      <c r="L36" s="2">
        <v>5412.7</v>
      </c>
      <c r="M36" s="2">
        <v>1057154.44</v>
      </c>
      <c r="N36" s="2">
        <v>1.2E-2</v>
      </c>
      <c r="O36" s="2">
        <v>12.68585</v>
      </c>
      <c r="P36" s="2">
        <v>227.3</v>
      </c>
      <c r="Q36" s="2">
        <v>26102</v>
      </c>
      <c r="R36" s="2">
        <v>0.64390000000000003</v>
      </c>
      <c r="S36" s="2">
        <v>16.807079999999999</v>
      </c>
      <c r="T36" s="2">
        <v>29.492930000000001</v>
      </c>
    </row>
    <row r="37" spans="1:20" x14ac:dyDescent="0.25">
      <c r="A37" s="3">
        <v>34</v>
      </c>
      <c r="B37" s="3">
        <v>2023</v>
      </c>
      <c r="C37" s="3" t="s">
        <v>32</v>
      </c>
      <c r="D37" s="3" t="s">
        <v>1210</v>
      </c>
      <c r="E37" s="3" t="s">
        <v>128</v>
      </c>
      <c r="F37" s="3" t="s">
        <v>1182</v>
      </c>
      <c r="G37" s="3" t="s">
        <v>96</v>
      </c>
      <c r="H37" s="3" t="s">
        <v>1161</v>
      </c>
      <c r="I37" s="3" t="s">
        <v>1162</v>
      </c>
      <c r="J37" s="3" t="s">
        <v>1186</v>
      </c>
      <c r="K37" s="3">
        <v>236.85</v>
      </c>
      <c r="L37" s="3">
        <v>1565</v>
      </c>
      <c r="M37" s="3">
        <v>370670.25</v>
      </c>
      <c r="N37" s="3">
        <v>0.25</v>
      </c>
      <c r="O37" s="3">
        <v>92.667559999999995</v>
      </c>
      <c r="P37" s="3">
        <v>2908.7</v>
      </c>
      <c r="Q37" s="3">
        <v>32049.5</v>
      </c>
      <c r="R37" s="3">
        <v>0.47810000000000002</v>
      </c>
      <c r="S37" s="3">
        <v>15.32287</v>
      </c>
      <c r="T37" s="3">
        <v>107.99043</v>
      </c>
    </row>
    <row r="38" spans="1:20" x14ac:dyDescent="0.25">
      <c r="A38" s="2">
        <v>35</v>
      </c>
      <c r="B38" s="2">
        <v>2023</v>
      </c>
      <c r="C38" s="2" t="s">
        <v>39</v>
      </c>
      <c r="D38" s="2" t="s">
        <v>1211</v>
      </c>
      <c r="E38" s="2" t="s">
        <v>67</v>
      </c>
      <c r="F38" s="2" t="s">
        <v>1165</v>
      </c>
      <c r="G38" s="2" t="s">
        <v>117</v>
      </c>
      <c r="H38" s="2" t="s">
        <v>1161</v>
      </c>
      <c r="I38" s="2" t="s">
        <v>548</v>
      </c>
      <c r="J38" s="2" t="s">
        <v>1170</v>
      </c>
      <c r="K38" s="2">
        <v>73.02</v>
      </c>
      <c r="L38" s="2">
        <v>6380.3</v>
      </c>
      <c r="M38" s="2">
        <v>465889.51</v>
      </c>
      <c r="N38" s="2">
        <v>2.8000000000000001E-2</v>
      </c>
      <c r="O38" s="2">
        <v>13.04491</v>
      </c>
      <c r="P38" s="2">
        <v>396.4</v>
      </c>
      <c r="Q38" s="2">
        <v>15927.5</v>
      </c>
      <c r="R38" s="2">
        <v>0.56789999999999996</v>
      </c>
      <c r="S38" s="2">
        <v>9.0452300000000001</v>
      </c>
      <c r="T38" s="2">
        <v>22.090140000000002</v>
      </c>
    </row>
    <row r="39" spans="1:20" ht="24" x14ac:dyDescent="0.25">
      <c r="A39" s="3">
        <v>36</v>
      </c>
      <c r="B39" s="3">
        <v>2023</v>
      </c>
      <c r="C39" s="3" t="s">
        <v>46</v>
      </c>
      <c r="D39" s="3" t="s">
        <v>1212</v>
      </c>
      <c r="E39" s="3" t="s">
        <v>49</v>
      </c>
      <c r="F39" s="3" t="s">
        <v>1179</v>
      </c>
      <c r="G39" s="3" t="s">
        <v>120</v>
      </c>
      <c r="H39" s="3" t="s">
        <v>1168</v>
      </c>
      <c r="I39" s="3" t="s">
        <v>548</v>
      </c>
      <c r="J39" s="3" t="s">
        <v>1170</v>
      </c>
      <c r="K39" s="3">
        <v>44.31</v>
      </c>
      <c r="L39" s="3">
        <v>2483.1999999999998</v>
      </c>
      <c r="M39" s="3">
        <v>110030.59</v>
      </c>
      <c r="N39" s="3">
        <v>2.8000000000000001E-2</v>
      </c>
      <c r="O39" s="3">
        <v>3.0808599999999999</v>
      </c>
      <c r="P39" s="3">
        <v>1780.2</v>
      </c>
      <c r="Q39" s="3">
        <v>18757.099999999999</v>
      </c>
      <c r="R39" s="3">
        <v>0.35399999999999998</v>
      </c>
      <c r="S39" s="3">
        <v>6.6400100000000002</v>
      </c>
      <c r="T39" s="3">
        <v>9.7208699999999997</v>
      </c>
    </row>
    <row r="40" spans="1:20" x14ac:dyDescent="0.25">
      <c r="A40" s="2">
        <v>37</v>
      </c>
      <c r="B40" s="2">
        <v>2023</v>
      </c>
      <c r="C40" s="2" t="s">
        <v>22</v>
      </c>
      <c r="D40" s="2" t="s">
        <v>1213</v>
      </c>
      <c r="E40" s="2" t="s">
        <v>42</v>
      </c>
      <c r="F40" s="2" t="s">
        <v>1172</v>
      </c>
      <c r="G40" s="2" t="s">
        <v>88</v>
      </c>
      <c r="H40" s="2" t="s">
        <v>1168</v>
      </c>
      <c r="I40" s="2" t="s">
        <v>1162</v>
      </c>
      <c r="J40" s="2" t="s">
        <v>1186</v>
      </c>
      <c r="K40" s="2">
        <v>257.62</v>
      </c>
      <c r="L40" s="2">
        <v>3388</v>
      </c>
      <c r="M40" s="2">
        <v>872816.56</v>
      </c>
      <c r="N40" s="2">
        <v>0.25</v>
      </c>
      <c r="O40" s="2">
        <v>218.20414</v>
      </c>
      <c r="P40" s="2">
        <v>1057.5</v>
      </c>
      <c r="Q40" s="2">
        <v>10418.4</v>
      </c>
      <c r="R40" s="2">
        <v>0.80430000000000001</v>
      </c>
      <c r="S40" s="2">
        <v>8.3795199999999994</v>
      </c>
      <c r="T40" s="2">
        <v>226.58366000000001</v>
      </c>
    </row>
    <row r="41" spans="1:20" ht="24" x14ac:dyDescent="0.25">
      <c r="A41" s="3">
        <v>38</v>
      </c>
      <c r="B41" s="3">
        <v>2023</v>
      </c>
      <c r="C41" s="3" t="s">
        <v>32</v>
      </c>
      <c r="D41" s="3" t="s">
        <v>1214</v>
      </c>
      <c r="E41" s="3" t="s">
        <v>112</v>
      </c>
      <c r="F41" s="3" t="s">
        <v>1160</v>
      </c>
      <c r="G41" s="3" t="s">
        <v>117</v>
      </c>
      <c r="H41" s="3" t="s">
        <v>1176</v>
      </c>
      <c r="I41" s="3" t="s">
        <v>1169</v>
      </c>
      <c r="J41" s="3" t="s">
        <v>1192</v>
      </c>
      <c r="K41" s="3">
        <v>207.58</v>
      </c>
      <c r="L41" s="3">
        <v>3749.9</v>
      </c>
      <c r="M41" s="3">
        <v>778404.24</v>
      </c>
      <c r="N41" s="3">
        <v>6.2E-2</v>
      </c>
      <c r="O41" s="3">
        <v>48.261060000000001</v>
      </c>
      <c r="P41" s="3">
        <v>3492.8</v>
      </c>
      <c r="Q41" s="3">
        <v>42674.400000000001</v>
      </c>
      <c r="R41" s="3">
        <v>0.63300000000000001</v>
      </c>
      <c r="S41" s="3">
        <v>27.012899999999998</v>
      </c>
      <c r="T41" s="3">
        <v>75.273960000000002</v>
      </c>
    </row>
    <row r="42" spans="1:20" x14ac:dyDescent="0.25">
      <c r="A42" s="2">
        <v>39</v>
      </c>
      <c r="B42" s="2">
        <v>2023</v>
      </c>
      <c r="C42" s="2" t="s">
        <v>39</v>
      </c>
      <c r="D42" s="2" t="s">
        <v>1215</v>
      </c>
      <c r="E42" s="2" t="s">
        <v>67</v>
      </c>
      <c r="F42" s="2" t="s">
        <v>1179</v>
      </c>
      <c r="G42" s="2" t="s">
        <v>96</v>
      </c>
      <c r="H42" s="2" t="s">
        <v>1168</v>
      </c>
      <c r="I42" s="2" t="s">
        <v>548</v>
      </c>
      <c r="J42" s="2" t="s">
        <v>1186</v>
      </c>
      <c r="K42" s="2">
        <v>31.54</v>
      </c>
      <c r="L42" s="2">
        <v>7011.3</v>
      </c>
      <c r="M42" s="2">
        <v>221136.4</v>
      </c>
      <c r="N42" s="2">
        <v>2.8000000000000001E-2</v>
      </c>
      <c r="O42" s="2">
        <v>6.1918199999999999</v>
      </c>
      <c r="P42" s="2">
        <v>4561.7</v>
      </c>
      <c r="Q42" s="2">
        <v>25048.6</v>
      </c>
      <c r="R42" s="2">
        <v>0.81</v>
      </c>
      <c r="S42" s="2">
        <v>20.289370000000002</v>
      </c>
      <c r="T42" s="2">
        <v>26.481190000000002</v>
      </c>
    </row>
    <row r="43" spans="1:20" x14ac:dyDescent="0.25">
      <c r="A43" s="3">
        <v>40</v>
      </c>
      <c r="B43" s="3">
        <v>2023</v>
      </c>
      <c r="C43" s="3" t="s">
        <v>46</v>
      </c>
      <c r="D43" s="3" t="s">
        <v>1216</v>
      </c>
      <c r="E43" s="3" t="s">
        <v>128</v>
      </c>
      <c r="F43" s="3" t="s">
        <v>1179</v>
      </c>
      <c r="G43" s="3" t="s">
        <v>33</v>
      </c>
      <c r="H43" s="3" t="s">
        <v>1168</v>
      </c>
      <c r="I43" s="3" t="s">
        <v>1162</v>
      </c>
      <c r="J43" s="3" t="s">
        <v>576</v>
      </c>
      <c r="K43" s="3">
        <v>64.02</v>
      </c>
      <c r="L43" s="3">
        <v>3856.4</v>
      </c>
      <c r="M43" s="3">
        <v>246886.73</v>
      </c>
      <c r="N43" s="3">
        <v>0.25</v>
      </c>
      <c r="O43" s="3">
        <v>61.721679999999999</v>
      </c>
      <c r="P43" s="3">
        <v>3864.9</v>
      </c>
      <c r="Q43" s="3">
        <v>40825.300000000003</v>
      </c>
      <c r="R43" s="3">
        <v>0.75360000000000005</v>
      </c>
      <c r="S43" s="3">
        <v>30.76595</v>
      </c>
      <c r="T43" s="3">
        <v>92.487629999999996</v>
      </c>
    </row>
    <row r="44" spans="1:20" x14ac:dyDescent="0.25">
      <c r="A44" s="2">
        <v>41</v>
      </c>
      <c r="B44" s="2">
        <v>2023</v>
      </c>
      <c r="C44" s="2" t="s">
        <v>22</v>
      </c>
      <c r="D44" s="2" t="s">
        <v>1217</v>
      </c>
      <c r="E44" s="2" t="s">
        <v>67</v>
      </c>
      <c r="F44" s="2" t="s">
        <v>1160</v>
      </c>
      <c r="G44" s="2" t="s">
        <v>70</v>
      </c>
      <c r="H44" s="2" t="s">
        <v>1174</v>
      </c>
      <c r="I44" s="2" t="s">
        <v>570</v>
      </c>
      <c r="J44" s="2" t="s">
        <v>576</v>
      </c>
      <c r="K44" s="2">
        <v>3.07</v>
      </c>
      <c r="L44" s="2">
        <v>2875.9</v>
      </c>
      <c r="M44" s="2">
        <v>8829.01</v>
      </c>
      <c r="N44" s="2">
        <v>1.2E-2</v>
      </c>
      <c r="O44" s="2">
        <v>0.10595</v>
      </c>
      <c r="P44" s="2">
        <v>2818</v>
      </c>
      <c r="Q44" s="2">
        <v>7548.9</v>
      </c>
      <c r="R44" s="2">
        <v>0.57020000000000004</v>
      </c>
      <c r="S44" s="2">
        <v>4.3043800000000001</v>
      </c>
      <c r="T44" s="2">
        <v>4.4103300000000001</v>
      </c>
    </row>
    <row r="45" spans="1:20" x14ac:dyDescent="0.25">
      <c r="A45" s="3">
        <v>42</v>
      </c>
      <c r="B45" s="3">
        <v>2023</v>
      </c>
      <c r="C45" s="3" t="s">
        <v>32</v>
      </c>
      <c r="D45" s="3" t="s">
        <v>1218</v>
      </c>
      <c r="E45" s="3" t="s">
        <v>26</v>
      </c>
      <c r="F45" s="3" t="s">
        <v>1160</v>
      </c>
      <c r="G45" s="3" t="s">
        <v>65</v>
      </c>
      <c r="H45" s="3" t="s">
        <v>1168</v>
      </c>
      <c r="I45" s="3" t="s">
        <v>553</v>
      </c>
      <c r="J45" s="3" t="s">
        <v>1190</v>
      </c>
      <c r="K45" s="3">
        <v>59.82</v>
      </c>
      <c r="L45" s="3">
        <v>2287.1</v>
      </c>
      <c r="M45" s="3">
        <v>136814.32</v>
      </c>
      <c r="N45" s="3">
        <v>0.1</v>
      </c>
      <c r="O45" s="3">
        <v>13.681430000000001</v>
      </c>
      <c r="P45" s="3">
        <v>1172.8</v>
      </c>
      <c r="Q45" s="3">
        <v>13468.9</v>
      </c>
      <c r="R45" s="3">
        <v>0.43709999999999999</v>
      </c>
      <c r="S45" s="3">
        <v>5.8872600000000004</v>
      </c>
      <c r="T45" s="3">
        <v>19.56869</v>
      </c>
    </row>
    <row r="46" spans="1:20" x14ac:dyDescent="0.25">
      <c r="A46" s="2">
        <v>43</v>
      </c>
      <c r="B46" s="2">
        <v>2023</v>
      </c>
      <c r="C46" s="2" t="s">
        <v>39</v>
      </c>
      <c r="D46" s="2" t="s">
        <v>1219</v>
      </c>
      <c r="E46" s="2" t="s">
        <v>67</v>
      </c>
      <c r="F46" s="2" t="s">
        <v>1172</v>
      </c>
      <c r="G46" s="2" t="s">
        <v>88</v>
      </c>
      <c r="H46" s="2" t="s">
        <v>1168</v>
      </c>
      <c r="I46" s="2" t="s">
        <v>553</v>
      </c>
      <c r="J46" s="2" t="s">
        <v>1177</v>
      </c>
      <c r="K46" s="2">
        <v>52.91</v>
      </c>
      <c r="L46" s="2">
        <v>2109.1</v>
      </c>
      <c r="M46" s="2">
        <v>111592.48</v>
      </c>
      <c r="N46" s="2">
        <v>0.1</v>
      </c>
      <c r="O46" s="2">
        <v>11.15925</v>
      </c>
      <c r="P46" s="2">
        <v>595.79999999999995</v>
      </c>
      <c r="Q46" s="2">
        <v>41656.6</v>
      </c>
      <c r="R46" s="2">
        <v>0.41860000000000003</v>
      </c>
      <c r="S46" s="2">
        <v>17.437449999999998</v>
      </c>
      <c r="T46" s="2">
        <v>28.596699999999998</v>
      </c>
    </row>
    <row r="47" spans="1:20" ht="24" x14ac:dyDescent="0.25">
      <c r="A47" s="3">
        <v>44</v>
      </c>
      <c r="B47" s="3">
        <v>2023</v>
      </c>
      <c r="C47" s="3" t="s">
        <v>46</v>
      </c>
      <c r="D47" s="3" t="s">
        <v>1220</v>
      </c>
      <c r="E47" s="3" t="s">
        <v>49</v>
      </c>
      <c r="F47" s="3" t="s">
        <v>1182</v>
      </c>
      <c r="G47" s="3" t="s">
        <v>70</v>
      </c>
      <c r="H47" s="3" t="s">
        <v>1166</v>
      </c>
      <c r="I47" s="3" t="s">
        <v>560</v>
      </c>
      <c r="J47" s="3" t="s">
        <v>578</v>
      </c>
      <c r="K47" s="3">
        <v>72.12</v>
      </c>
      <c r="L47" s="3">
        <v>6479.7</v>
      </c>
      <c r="M47" s="3">
        <v>467315.96</v>
      </c>
      <c r="N47" s="3">
        <v>0.8</v>
      </c>
      <c r="O47" s="3">
        <v>373.85277000000002</v>
      </c>
      <c r="P47" s="3">
        <v>3338.5</v>
      </c>
      <c r="Q47" s="3">
        <v>47087.5</v>
      </c>
      <c r="R47" s="3">
        <v>0.83860000000000001</v>
      </c>
      <c r="S47" s="3">
        <v>39.487580000000001</v>
      </c>
      <c r="T47" s="3">
        <v>413.34035</v>
      </c>
    </row>
    <row r="48" spans="1:20" x14ac:dyDescent="0.25">
      <c r="A48" s="2">
        <v>45</v>
      </c>
      <c r="B48" s="2">
        <v>2023</v>
      </c>
      <c r="C48" s="2" t="s">
        <v>22</v>
      </c>
      <c r="D48" s="2" t="s">
        <v>1221</v>
      </c>
      <c r="E48" s="2" t="s">
        <v>112</v>
      </c>
      <c r="F48" s="2" t="s">
        <v>1160</v>
      </c>
      <c r="G48" s="2" t="s">
        <v>33</v>
      </c>
      <c r="H48" s="2" t="s">
        <v>1168</v>
      </c>
      <c r="I48" s="2" t="s">
        <v>548</v>
      </c>
      <c r="J48" s="2" t="s">
        <v>576</v>
      </c>
      <c r="K48" s="2">
        <v>264.83</v>
      </c>
      <c r="L48" s="2">
        <v>1063.7</v>
      </c>
      <c r="M48" s="2">
        <v>281699.67</v>
      </c>
      <c r="N48" s="2">
        <v>2.8000000000000001E-2</v>
      </c>
      <c r="O48" s="2">
        <v>7.8875900000000003</v>
      </c>
      <c r="P48" s="2">
        <v>1029.2</v>
      </c>
      <c r="Q48" s="2">
        <v>26861.5</v>
      </c>
      <c r="R48" s="2">
        <v>0.69720000000000004</v>
      </c>
      <c r="S48" s="2">
        <v>18.72784</v>
      </c>
      <c r="T48" s="2">
        <v>26.61543</v>
      </c>
    </row>
    <row r="49" spans="1:20" x14ac:dyDescent="0.25">
      <c r="A49" s="3">
        <v>46</v>
      </c>
      <c r="B49" s="3">
        <v>2023</v>
      </c>
      <c r="C49" s="3" t="s">
        <v>32</v>
      </c>
      <c r="D49" s="3" t="s">
        <v>1222</v>
      </c>
      <c r="E49" s="3" t="s">
        <v>67</v>
      </c>
      <c r="F49" s="3" t="s">
        <v>1165</v>
      </c>
      <c r="G49" s="3" t="s">
        <v>54</v>
      </c>
      <c r="H49" s="3" t="s">
        <v>1168</v>
      </c>
      <c r="I49" s="3" t="s">
        <v>1162</v>
      </c>
      <c r="J49" s="3" t="s">
        <v>1170</v>
      </c>
      <c r="K49" s="3">
        <v>176.24</v>
      </c>
      <c r="L49" s="3">
        <v>6838.4</v>
      </c>
      <c r="M49" s="3">
        <v>1205199.6200000001</v>
      </c>
      <c r="N49" s="3">
        <v>0.25</v>
      </c>
      <c r="O49" s="3">
        <v>301.29991000000001</v>
      </c>
      <c r="P49" s="3">
        <v>1541.5</v>
      </c>
      <c r="Q49" s="3">
        <v>7854.1</v>
      </c>
      <c r="R49" s="3">
        <v>0.47360000000000002</v>
      </c>
      <c r="S49" s="3">
        <v>3.7197</v>
      </c>
      <c r="T49" s="3">
        <v>305.01961</v>
      </c>
    </row>
    <row r="50" spans="1:20" x14ac:dyDescent="0.25">
      <c r="A50" s="2">
        <v>47</v>
      </c>
      <c r="B50" s="2">
        <v>2023</v>
      </c>
      <c r="C50" s="2" t="s">
        <v>39</v>
      </c>
      <c r="D50" s="2" t="s">
        <v>1223</v>
      </c>
      <c r="E50" s="2" t="s">
        <v>106</v>
      </c>
      <c r="F50" s="2" t="s">
        <v>1179</v>
      </c>
      <c r="G50" s="2" t="s">
        <v>139</v>
      </c>
      <c r="H50" s="2" t="s">
        <v>1176</v>
      </c>
      <c r="I50" s="2" t="s">
        <v>1162</v>
      </c>
      <c r="J50" s="2" t="s">
        <v>1170</v>
      </c>
      <c r="K50" s="2">
        <v>265.76</v>
      </c>
      <c r="L50" s="2">
        <v>1689.7</v>
      </c>
      <c r="M50" s="2">
        <v>449054.67</v>
      </c>
      <c r="N50" s="2">
        <v>0.25</v>
      </c>
      <c r="O50" s="2">
        <v>112.26367</v>
      </c>
      <c r="P50" s="2">
        <v>498.9</v>
      </c>
      <c r="Q50" s="2">
        <v>23798</v>
      </c>
      <c r="R50" s="2">
        <v>0.68179999999999996</v>
      </c>
      <c r="S50" s="2">
        <v>16.225480000000001</v>
      </c>
      <c r="T50" s="2">
        <v>128.48915</v>
      </c>
    </row>
    <row r="51" spans="1:20" x14ac:dyDescent="0.25">
      <c r="A51" s="3">
        <v>48</v>
      </c>
      <c r="B51" s="3">
        <v>2023</v>
      </c>
      <c r="C51" s="3" t="s">
        <v>46</v>
      </c>
      <c r="D51" s="3" t="s">
        <v>1224</v>
      </c>
      <c r="E51" s="3" t="s">
        <v>140</v>
      </c>
      <c r="F51" s="3" t="s">
        <v>1182</v>
      </c>
      <c r="G51" s="3" t="s">
        <v>204</v>
      </c>
      <c r="H51" s="3" t="s">
        <v>1174</v>
      </c>
      <c r="I51" s="3" t="s">
        <v>570</v>
      </c>
      <c r="J51" s="3" t="s">
        <v>1163</v>
      </c>
      <c r="K51" s="3">
        <v>149.63</v>
      </c>
      <c r="L51" s="3">
        <v>3724.9</v>
      </c>
      <c r="M51" s="3">
        <v>557356.79</v>
      </c>
      <c r="N51" s="3">
        <v>1.2E-2</v>
      </c>
      <c r="O51" s="3">
        <v>6.6882799999999998</v>
      </c>
      <c r="P51" s="3">
        <v>1676.9</v>
      </c>
      <c r="Q51" s="3">
        <v>19007</v>
      </c>
      <c r="R51" s="3">
        <v>0.69730000000000003</v>
      </c>
      <c r="S51" s="3">
        <v>13.253579999999999</v>
      </c>
      <c r="T51" s="3">
        <v>19.941859999999998</v>
      </c>
    </row>
    <row r="52" spans="1:20" ht="24" x14ac:dyDescent="0.25">
      <c r="A52" s="2">
        <v>49</v>
      </c>
      <c r="B52" s="2">
        <v>2023</v>
      </c>
      <c r="C52" s="2" t="s">
        <v>22</v>
      </c>
      <c r="D52" s="2" t="s">
        <v>1225</v>
      </c>
      <c r="E52" s="2" t="s">
        <v>26</v>
      </c>
      <c r="F52" s="2" t="s">
        <v>1179</v>
      </c>
      <c r="G52" s="2" t="s">
        <v>33</v>
      </c>
      <c r="H52" s="2" t="s">
        <v>1168</v>
      </c>
      <c r="I52" s="2" t="s">
        <v>1169</v>
      </c>
      <c r="J52" s="2" t="s">
        <v>1177</v>
      </c>
      <c r="K52" s="2">
        <v>276.36</v>
      </c>
      <c r="L52" s="2">
        <v>4680.2</v>
      </c>
      <c r="M52" s="2">
        <v>1293420.07</v>
      </c>
      <c r="N52" s="2">
        <v>6.2E-2</v>
      </c>
      <c r="O52" s="2">
        <v>80.192040000000006</v>
      </c>
      <c r="P52" s="2">
        <v>279.39999999999998</v>
      </c>
      <c r="Q52" s="2">
        <v>11366.6</v>
      </c>
      <c r="R52" s="2">
        <v>0.45150000000000001</v>
      </c>
      <c r="S52" s="2">
        <v>5.1320199999999998</v>
      </c>
      <c r="T52" s="2">
        <v>85.324060000000003</v>
      </c>
    </row>
    <row r="53" spans="1:20" x14ac:dyDescent="0.25">
      <c r="A53" s="3">
        <v>50</v>
      </c>
      <c r="B53" s="3">
        <v>2023</v>
      </c>
      <c r="C53" s="3" t="s">
        <v>32</v>
      </c>
      <c r="D53" s="3" t="s">
        <v>1226</v>
      </c>
      <c r="E53" s="3" t="s">
        <v>114</v>
      </c>
      <c r="F53" s="3" t="s">
        <v>1172</v>
      </c>
      <c r="G53" s="3" t="s">
        <v>117</v>
      </c>
      <c r="H53" s="3" t="s">
        <v>1176</v>
      </c>
      <c r="I53" s="3" t="s">
        <v>560</v>
      </c>
      <c r="J53" s="3" t="s">
        <v>1170</v>
      </c>
      <c r="K53" s="3">
        <v>266.62</v>
      </c>
      <c r="L53" s="3">
        <v>4579.5</v>
      </c>
      <c r="M53" s="3">
        <v>1220986.29</v>
      </c>
      <c r="N53" s="3">
        <v>0.8</v>
      </c>
      <c r="O53" s="3">
        <v>976.78903000000003</v>
      </c>
      <c r="P53" s="3">
        <v>4683.8999999999996</v>
      </c>
      <c r="Q53" s="3">
        <v>19018.3</v>
      </c>
      <c r="R53" s="3">
        <v>0.62529999999999997</v>
      </c>
      <c r="S53" s="3">
        <v>11.892139999999999</v>
      </c>
      <c r="T53" s="3">
        <v>988.68116999999995</v>
      </c>
    </row>
    <row r="54" spans="1:20" x14ac:dyDescent="0.25">
      <c r="A54" s="2">
        <v>51</v>
      </c>
      <c r="B54" s="2">
        <v>2023</v>
      </c>
      <c r="C54" s="2" t="s">
        <v>39</v>
      </c>
      <c r="D54" s="2" t="s">
        <v>1227</v>
      </c>
      <c r="E54" s="2" t="s">
        <v>128</v>
      </c>
      <c r="F54" s="2" t="s">
        <v>1182</v>
      </c>
      <c r="G54" s="2" t="s">
        <v>88</v>
      </c>
      <c r="H54" s="2" t="s">
        <v>1176</v>
      </c>
      <c r="I54" s="2" t="s">
        <v>570</v>
      </c>
      <c r="J54" s="2" t="s">
        <v>1192</v>
      </c>
      <c r="K54" s="2">
        <v>69.13</v>
      </c>
      <c r="L54" s="2">
        <v>348.3</v>
      </c>
      <c r="M54" s="2">
        <v>24077.98</v>
      </c>
      <c r="N54" s="2">
        <v>1.2E-2</v>
      </c>
      <c r="O54" s="2">
        <v>0.28893999999999997</v>
      </c>
      <c r="P54" s="2">
        <v>2610.1</v>
      </c>
      <c r="Q54" s="2">
        <v>17150.5</v>
      </c>
      <c r="R54" s="2">
        <v>0.5756</v>
      </c>
      <c r="S54" s="2">
        <v>9.8718299999999992</v>
      </c>
      <c r="T54" s="2">
        <v>10.160769999999999</v>
      </c>
    </row>
    <row r="55" spans="1:20" x14ac:dyDescent="0.25">
      <c r="A55" s="3">
        <v>52</v>
      </c>
      <c r="B55" s="3">
        <v>2023</v>
      </c>
      <c r="C55" s="3" t="s">
        <v>46</v>
      </c>
      <c r="D55" s="3" t="s">
        <v>1228</v>
      </c>
      <c r="E55" s="3" t="s">
        <v>106</v>
      </c>
      <c r="F55" s="3" t="s">
        <v>1165</v>
      </c>
      <c r="G55" s="3" t="s">
        <v>54</v>
      </c>
      <c r="H55" s="3" t="s">
        <v>1161</v>
      </c>
      <c r="I55" s="3" t="s">
        <v>570</v>
      </c>
      <c r="J55" s="3" t="s">
        <v>1170</v>
      </c>
      <c r="K55" s="3">
        <v>114.77</v>
      </c>
      <c r="L55" s="3">
        <v>1452.9</v>
      </c>
      <c r="M55" s="3">
        <v>166749.32999999999</v>
      </c>
      <c r="N55" s="3">
        <v>1.2E-2</v>
      </c>
      <c r="O55" s="3">
        <v>2.0009899999999998</v>
      </c>
      <c r="P55" s="3">
        <v>1245.5999999999999</v>
      </c>
      <c r="Q55" s="3">
        <v>32445.1</v>
      </c>
      <c r="R55" s="3">
        <v>0.52949999999999997</v>
      </c>
      <c r="S55" s="3">
        <v>17.179680000000001</v>
      </c>
      <c r="T55" s="3">
        <v>19.180669999999999</v>
      </c>
    </row>
    <row r="56" spans="1:20" x14ac:dyDescent="0.25">
      <c r="A56" s="2">
        <v>53</v>
      </c>
      <c r="B56" s="2">
        <v>2023</v>
      </c>
      <c r="C56" s="2" t="s">
        <v>22</v>
      </c>
      <c r="D56" s="2" t="s">
        <v>1229</v>
      </c>
      <c r="E56" s="2" t="s">
        <v>89</v>
      </c>
      <c r="F56" s="2" t="s">
        <v>1160</v>
      </c>
      <c r="G56" s="2" t="s">
        <v>65</v>
      </c>
      <c r="H56" s="2" t="s">
        <v>1174</v>
      </c>
      <c r="I56" s="2" t="s">
        <v>1162</v>
      </c>
      <c r="J56" s="2" t="s">
        <v>1190</v>
      </c>
      <c r="K56" s="2">
        <v>193.13</v>
      </c>
      <c r="L56" s="2">
        <v>6291.3</v>
      </c>
      <c r="M56" s="2">
        <v>1215038.77</v>
      </c>
      <c r="N56" s="2">
        <v>0.25</v>
      </c>
      <c r="O56" s="2">
        <v>303.75968999999998</v>
      </c>
      <c r="P56" s="2">
        <v>4640.3999999999996</v>
      </c>
      <c r="Q56" s="2">
        <v>5371.3</v>
      </c>
      <c r="R56" s="2">
        <v>0.38569999999999999</v>
      </c>
      <c r="S56" s="2">
        <v>2.0717099999999999</v>
      </c>
      <c r="T56" s="2">
        <v>305.83139999999997</v>
      </c>
    </row>
    <row r="57" spans="1:20" ht="24" x14ac:dyDescent="0.25">
      <c r="A57" s="3">
        <v>54</v>
      </c>
      <c r="B57" s="3">
        <v>2023</v>
      </c>
      <c r="C57" s="3" t="s">
        <v>32</v>
      </c>
      <c r="D57" s="3" t="s">
        <v>1230</v>
      </c>
      <c r="E57" s="3" t="s">
        <v>140</v>
      </c>
      <c r="F57" s="3" t="s">
        <v>1160</v>
      </c>
      <c r="G57" s="3" t="s">
        <v>110</v>
      </c>
      <c r="H57" s="3" t="s">
        <v>1161</v>
      </c>
      <c r="I57" s="3" t="s">
        <v>1169</v>
      </c>
      <c r="J57" s="3" t="s">
        <v>1177</v>
      </c>
      <c r="K57" s="3">
        <v>98.84</v>
      </c>
      <c r="L57" s="3">
        <v>2435.6999999999998</v>
      </c>
      <c r="M57" s="3">
        <v>240744.59</v>
      </c>
      <c r="N57" s="3">
        <v>6.2E-2</v>
      </c>
      <c r="O57" s="3">
        <v>14.926159999999999</v>
      </c>
      <c r="P57" s="3">
        <v>4096.3</v>
      </c>
      <c r="Q57" s="3">
        <v>34335.199999999997</v>
      </c>
      <c r="R57" s="3">
        <v>0.48720000000000002</v>
      </c>
      <c r="S57" s="3">
        <v>16.728110000000001</v>
      </c>
      <c r="T57" s="3">
        <v>31.65427</v>
      </c>
    </row>
    <row r="58" spans="1:20" x14ac:dyDescent="0.25">
      <c r="A58" s="2">
        <v>55</v>
      </c>
      <c r="B58" s="2">
        <v>2023</v>
      </c>
      <c r="C58" s="2" t="s">
        <v>39</v>
      </c>
      <c r="D58" s="2" t="s">
        <v>1231</v>
      </c>
      <c r="E58" s="2" t="s">
        <v>26</v>
      </c>
      <c r="F58" s="2" t="s">
        <v>1160</v>
      </c>
      <c r="G58" s="2" t="s">
        <v>92</v>
      </c>
      <c r="H58" s="2" t="s">
        <v>1166</v>
      </c>
      <c r="I58" s="2" t="s">
        <v>553</v>
      </c>
      <c r="J58" s="2" t="s">
        <v>1186</v>
      </c>
      <c r="K58" s="2">
        <v>231.05</v>
      </c>
      <c r="L58" s="2">
        <v>2269.1</v>
      </c>
      <c r="M58" s="2">
        <v>524275.55</v>
      </c>
      <c r="N58" s="2">
        <v>0.1</v>
      </c>
      <c r="O58" s="2">
        <v>52.427549999999997</v>
      </c>
      <c r="P58" s="2">
        <v>1798.5</v>
      </c>
      <c r="Q58" s="2">
        <v>49843.7</v>
      </c>
      <c r="R58" s="2">
        <v>0.82289999999999996</v>
      </c>
      <c r="S58" s="2">
        <v>41.016379999999998</v>
      </c>
      <c r="T58" s="2">
        <v>93.443929999999995</v>
      </c>
    </row>
    <row r="59" spans="1:20" ht="24" x14ac:dyDescent="0.25">
      <c r="A59" s="3">
        <v>56</v>
      </c>
      <c r="B59" s="3">
        <v>2023</v>
      </c>
      <c r="C59" s="3" t="s">
        <v>46</v>
      </c>
      <c r="D59" s="3" t="s">
        <v>1232</v>
      </c>
      <c r="E59" s="3" t="s">
        <v>140</v>
      </c>
      <c r="F59" s="3" t="s">
        <v>1179</v>
      </c>
      <c r="G59" s="3" t="s">
        <v>204</v>
      </c>
      <c r="H59" s="3" t="s">
        <v>1168</v>
      </c>
      <c r="I59" s="3" t="s">
        <v>1169</v>
      </c>
      <c r="J59" s="3" t="s">
        <v>1170</v>
      </c>
      <c r="K59" s="3">
        <v>153.84</v>
      </c>
      <c r="L59" s="3">
        <v>6094.1</v>
      </c>
      <c r="M59" s="3">
        <v>937516.34</v>
      </c>
      <c r="N59" s="3">
        <v>6.2E-2</v>
      </c>
      <c r="O59" s="3">
        <v>58.126010000000001</v>
      </c>
      <c r="P59" s="3">
        <v>831.5</v>
      </c>
      <c r="Q59" s="3">
        <v>20176.5</v>
      </c>
      <c r="R59" s="3">
        <v>0.46350000000000002</v>
      </c>
      <c r="S59" s="3">
        <v>9.3518100000000004</v>
      </c>
      <c r="T59" s="3">
        <v>67.477819999999994</v>
      </c>
    </row>
    <row r="60" spans="1:20" x14ac:dyDescent="0.25">
      <c r="A60" s="2">
        <v>57</v>
      </c>
      <c r="B60" s="2">
        <v>2023</v>
      </c>
      <c r="C60" s="2" t="s">
        <v>22</v>
      </c>
      <c r="D60" s="2" t="s">
        <v>1233</v>
      </c>
      <c r="E60" s="2" t="s">
        <v>112</v>
      </c>
      <c r="F60" s="2" t="s">
        <v>1179</v>
      </c>
      <c r="G60" s="2" t="s">
        <v>33</v>
      </c>
      <c r="H60" s="2" t="s">
        <v>1176</v>
      </c>
      <c r="I60" s="2" t="s">
        <v>1162</v>
      </c>
      <c r="J60" s="2" t="s">
        <v>1190</v>
      </c>
      <c r="K60" s="2">
        <v>235.81</v>
      </c>
      <c r="L60" s="2">
        <v>6065.8</v>
      </c>
      <c r="M60" s="2">
        <v>1430376.3</v>
      </c>
      <c r="N60" s="2">
        <v>0.25</v>
      </c>
      <c r="O60" s="2">
        <v>357.59408000000002</v>
      </c>
      <c r="P60" s="2">
        <v>3640.3</v>
      </c>
      <c r="Q60" s="2">
        <v>23339.4</v>
      </c>
      <c r="R60" s="2">
        <v>0.746</v>
      </c>
      <c r="S60" s="2">
        <v>17.411190000000001</v>
      </c>
      <c r="T60" s="2">
        <v>375.00527</v>
      </c>
    </row>
    <row r="61" spans="1:20" x14ac:dyDescent="0.25">
      <c r="A61" s="3">
        <v>58</v>
      </c>
      <c r="B61" s="3">
        <v>2023</v>
      </c>
      <c r="C61" s="3" t="s">
        <v>32</v>
      </c>
      <c r="D61" s="3" t="s">
        <v>1234</v>
      </c>
      <c r="E61" s="3" t="s">
        <v>140</v>
      </c>
      <c r="F61" s="3" t="s">
        <v>1172</v>
      </c>
      <c r="G61" s="3" t="s">
        <v>204</v>
      </c>
      <c r="H61" s="3" t="s">
        <v>1174</v>
      </c>
      <c r="I61" s="3" t="s">
        <v>560</v>
      </c>
      <c r="J61" s="3" t="s">
        <v>1192</v>
      </c>
      <c r="K61" s="3">
        <v>135.05000000000001</v>
      </c>
      <c r="L61" s="3">
        <v>4476.3999999999996</v>
      </c>
      <c r="M61" s="3">
        <v>604537.81999999995</v>
      </c>
      <c r="N61" s="3">
        <v>0.8</v>
      </c>
      <c r="O61" s="3">
        <v>483.63026000000002</v>
      </c>
      <c r="P61" s="3">
        <v>1936</v>
      </c>
      <c r="Q61" s="3">
        <v>29086.7</v>
      </c>
      <c r="R61" s="3">
        <v>0.41420000000000001</v>
      </c>
      <c r="S61" s="3">
        <v>12.04771</v>
      </c>
      <c r="T61" s="3">
        <v>495.67797000000002</v>
      </c>
    </row>
    <row r="62" spans="1:20" x14ac:dyDescent="0.25">
      <c r="A62" s="2">
        <v>59</v>
      </c>
      <c r="B62" s="2">
        <v>2023</v>
      </c>
      <c r="C62" s="2" t="s">
        <v>39</v>
      </c>
      <c r="D62" s="2" t="s">
        <v>1235</v>
      </c>
      <c r="E62" s="2" t="s">
        <v>112</v>
      </c>
      <c r="F62" s="2" t="s">
        <v>1160</v>
      </c>
      <c r="G62" s="2" t="s">
        <v>120</v>
      </c>
      <c r="H62" s="2" t="s">
        <v>1161</v>
      </c>
      <c r="I62" s="2" t="s">
        <v>548</v>
      </c>
      <c r="J62" s="2" t="s">
        <v>576</v>
      </c>
      <c r="K62" s="2">
        <v>125.8</v>
      </c>
      <c r="L62" s="2">
        <v>5492.4</v>
      </c>
      <c r="M62" s="2">
        <v>690943.92</v>
      </c>
      <c r="N62" s="2">
        <v>2.8000000000000001E-2</v>
      </c>
      <c r="O62" s="2">
        <v>19.346430000000002</v>
      </c>
      <c r="P62" s="2">
        <v>2076.5</v>
      </c>
      <c r="Q62" s="2">
        <v>39042.800000000003</v>
      </c>
      <c r="R62" s="2">
        <v>0.61880000000000002</v>
      </c>
      <c r="S62" s="2">
        <v>24.159680000000002</v>
      </c>
      <c r="T62" s="2">
        <v>43.50611</v>
      </c>
    </row>
    <row r="63" spans="1:20" ht="24" x14ac:dyDescent="0.25">
      <c r="A63" s="3">
        <v>60</v>
      </c>
      <c r="B63" s="3">
        <v>2023</v>
      </c>
      <c r="C63" s="3" t="s">
        <v>46</v>
      </c>
      <c r="D63" s="3" t="s">
        <v>1236</v>
      </c>
      <c r="E63" s="3" t="s">
        <v>49</v>
      </c>
      <c r="F63" s="3" t="s">
        <v>1160</v>
      </c>
      <c r="G63" s="3" t="s">
        <v>54</v>
      </c>
      <c r="H63" s="3" t="s">
        <v>1176</v>
      </c>
      <c r="I63" s="3" t="s">
        <v>548</v>
      </c>
      <c r="J63" s="3" t="s">
        <v>1163</v>
      </c>
      <c r="K63" s="3">
        <v>46.19</v>
      </c>
      <c r="L63" s="3">
        <v>7622</v>
      </c>
      <c r="M63" s="3">
        <v>352060.18</v>
      </c>
      <c r="N63" s="3">
        <v>2.8000000000000001E-2</v>
      </c>
      <c r="O63" s="3">
        <v>9.8576899999999998</v>
      </c>
      <c r="P63" s="3">
        <v>1718.2</v>
      </c>
      <c r="Q63" s="3">
        <v>31677</v>
      </c>
      <c r="R63" s="3">
        <v>0.65149999999999997</v>
      </c>
      <c r="S63" s="3">
        <v>20.63757</v>
      </c>
      <c r="T63" s="3">
        <v>30.495259999999998</v>
      </c>
    </row>
    <row r="64" spans="1:20" x14ac:dyDescent="0.25">
      <c r="A64" s="2">
        <v>61</v>
      </c>
      <c r="B64" s="2">
        <v>2023</v>
      </c>
      <c r="C64" s="2" t="s">
        <v>22</v>
      </c>
      <c r="D64" s="2" t="s">
        <v>1237</v>
      </c>
      <c r="E64" s="2" t="s">
        <v>99</v>
      </c>
      <c r="F64" s="2" t="s">
        <v>1165</v>
      </c>
      <c r="G64" s="2" t="s">
        <v>24</v>
      </c>
      <c r="H64" s="2" t="s">
        <v>1168</v>
      </c>
      <c r="I64" s="2" t="s">
        <v>548</v>
      </c>
      <c r="J64" s="2" t="s">
        <v>578</v>
      </c>
      <c r="K64" s="2">
        <v>284.61</v>
      </c>
      <c r="L64" s="2">
        <v>528.4</v>
      </c>
      <c r="M64" s="2">
        <v>150387.92000000001</v>
      </c>
      <c r="N64" s="2">
        <v>2.8000000000000001E-2</v>
      </c>
      <c r="O64" s="2">
        <v>4.2108600000000003</v>
      </c>
      <c r="P64" s="2">
        <v>1993.5</v>
      </c>
      <c r="Q64" s="2">
        <v>24001.5</v>
      </c>
      <c r="R64" s="2">
        <v>0.51439999999999997</v>
      </c>
      <c r="S64" s="2">
        <v>12.34637</v>
      </c>
      <c r="T64" s="2">
        <v>16.557230000000001</v>
      </c>
    </row>
    <row r="65" spans="1:20" ht="24" x14ac:dyDescent="0.25">
      <c r="A65" s="3">
        <v>62</v>
      </c>
      <c r="B65" s="3">
        <v>2023</v>
      </c>
      <c r="C65" s="3" t="s">
        <v>32</v>
      </c>
      <c r="D65" s="3" t="s">
        <v>1238</v>
      </c>
      <c r="E65" s="3" t="s">
        <v>106</v>
      </c>
      <c r="F65" s="3" t="s">
        <v>1182</v>
      </c>
      <c r="G65" s="3" t="s">
        <v>117</v>
      </c>
      <c r="H65" s="3" t="s">
        <v>1168</v>
      </c>
      <c r="I65" s="3" t="s">
        <v>1169</v>
      </c>
      <c r="J65" s="3" t="s">
        <v>1190</v>
      </c>
      <c r="K65" s="3">
        <v>165.92</v>
      </c>
      <c r="L65" s="3">
        <v>275.8</v>
      </c>
      <c r="M65" s="3">
        <v>45760.74</v>
      </c>
      <c r="N65" s="3">
        <v>6.2E-2</v>
      </c>
      <c r="O65" s="3">
        <v>2.83717</v>
      </c>
      <c r="P65" s="3">
        <v>3476.2</v>
      </c>
      <c r="Q65" s="3">
        <v>24686.400000000001</v>
      </c>
      <c r="R65" s="3">
        <v>0.44330000000000003</v>
      </c>
      <c r="S65" s="3">
        <v>10.943479999999999</v>
      </c>
      <c r="T65" s="3">
        <v>13.78065</v>
      </c>
    </row>
    <row r="66" spans="1:20" x14ac:dyDescent="0.25">
      <c r="A66" s="2">
        <v>63</v>
      </c>
      <c r="B66" s="2">
        <v>2023</v>
      </c>
      <c r="C66" s="2" t="s">
        <v>39</v>
      </c>
      <c r="D66" s="2" t="s">
        <v>1239</v>
      </c>
      <c r="E66" s="2" t="s">
        <v>26</v>
      </c>
      <c r="F66" s="2" t="s">
        <v>1182</v>
      </c>
      <c r="G66" s="2" t="s">
        <v>33</v>
      </c>
      <c r="H66" s="2" t="s">
        <v>1168</v>
      </c>
      <c r="I66" s="2" t="s">
        <v>570</v>
      </c>
      <c r="J66" s="2" t="s">
        <v>578</v>
      </c>
      <c r="K66" s="2">
        <v>197.91</v>
      </c>
      <c r="L66" s="2">
        <v>578.4</v>
      </c>
      <c r="M66" s="2">
        <v>114471.14</v>
      </c>
      <c r="N66" s="2">
        <v>1.2E-2</v>
      </c>
      <c r="O66" s="2">
        <v>1.37365</v>
      </c>
      <c r="P66" s="2">
        <v>381.5</v>
      </c>
      <c r="Q66" s="2">
        <v>26167.3</v>
      </c>
      <c r="R66" s="2">
        <v>0.43590000000000001</v>
      </c>
      <c r="S66" s="2">
        <v>11.406330000000001</v>
      </c>
      <c r="T66" s="2">
        <v>12.77998</v>
      </c>
    </row>
    <row r="67" spans="1:20" x14ac:dyDescent="0.25">
      <c r="A67" s="3">
        <v>64</v>
      </c>
      <c r="B67" s="3">
        <v>2023</v>
      </c>
      <c r="C67" s="3" t="s">
        <v>46</v>
      </c>
      <c r="D67" s="3" t="s">
        <v>1240</v>
      </c>
      <c r="E67" s="3" t="s">
        <v>114</v>
      </c>
      <c r="F67" s="3" t="s">
        <v>1179</v>
      </c>
      <c r="G67" s="3" t="s">
        <v>117</v>
      </c>
      <c r="H67" s="3" t="s">
        <v>1176</v>
      </c>
      <c r="I67" s="3" t="s">
        <v>548</v>
      </c>
      <c r="J67" s="3" t="s">
        <v>1186</v>
      </c>
      <c r="K67" s="3">
        <v>160.97999999999999</v>
      </c>
      <c r="L67" s="3">
        <v>3836.4</v>
      </c>
      <c r="M67" s="3">
        <v>617583.67000000004</v>
      </c>
      <c r="N67" s="3">
        <v>2.8000000000000001E-2</v>
      </c>
      <c r="O67" s="3">
        <v>17.292339999999999</v>
      </c>
      <c r="P67" s="3">
        <v>436.9</v>
      </c>
      <c r="Q67" s="3">
        <v>47777.3</v>
      </c>
      <c r="R67" s="3">
        <v>0.78280000000000005</v>
      </c>
      <c r="S67" s="3">
        <v>37.400069999999999</v>
      </c>
      <c r="T67" s="3">
        <v>54.692410000000002</v>
      </c>
    </row>
    <row r="68" spans="1:20" x14ac:dyDescent="0.25">
      <c r="A68" s="2">
        <v>65</v>
      </c>
      <c r="B68" s="2">
        <v>2023</v>
      </c>
      <c r="C68" s="2" t="s">
        <v>22</v>
      </c>
      <c r="D68" s="2" t="s">
        <v>1241</v>
      </c>
      <c r="E68" s="2" t="s">
        <v>72</v>
      </c>
      <c r="F68" s="2" t="s">
        <v>1179</v>
      </c>
      <c r="G68" s="2" t="s">
        <v>120</v>
      </c>
      <c r="H68" s="2" t="s">
        <v>1168</v>
      </c>
      <c r="I68" s="2" t="s">
        <v>548</v>
      </c>
      <c r="J68" s="2" t="s">
        <v>1186</v>
      </c>
      <c r="K68" s="2">
        <v>181.15</v>
      </c>
      <c r="L68" s="2">
        <v>7514.5</v>
      </c>
      <c r="M68" s="2">
        <v>1361251.68</v>
      </c>
      <c r="N68" s="2">
        <v>2.8000000000000001E-2</v>
      </c>
      <c r="O68" s="2">
        <v>38.115049999999997</v>
      </c>
      <c r="P68" s="2">
        <v>2978.7</v>
      </c>
      <c r="Q68" s="2">
        <v>25372.5</v>
      </c>
      <c r="R68" s="2">
        <v>0.69240000000000002</v>
      </c>
      <c r="S68" s="2">
        <v>17.567920000000001</v>
      </c>
      <c r="T68" s="2">
        <v>55.682969999999997</v>
      </c>
    </row>
    <row r="69" spans="1:20" x14ac:dyDescent="0.25">
      <c r="A69" s="3">
        <v>66</v>
      </c>
      <c r="B69" s="3">
        <v>2023</v>
      </c>
      <c r="C69" s="3" t="s">
        <v>32</v>
      </c>
      <c r="D69" s="3" t="s">
        <v>1242</v>
      </c>
      <c r="E69" s="3" t="s">
        <v>99</v>
      </c>
      <c r="F69" s="3" t="s">
        <v>1182</v>
      </c>
      <c r="G69" s="3" t="s">
        <v>204</v>
      </c>
      <c r="H69" s="3" t="s">
        <v>1161</v>
      </c>
      <c r="I69" s="3" t="s">
        <v>553</v>
      </c>
      <c r="J69" s="3" t="s">
        <v>576</v>
      </c>
      <c r="K69" s="3">
        <v>247.39</v>
      </c>
      <c r="L69" s="3">
        <v>4846.7</v>
      </c>
      <c r="M69" s="3">
        <v>1199025.1100000001</v>
      </c>
      <c r="N69" s="3">
        <v>0.1</v>
      </c>
      <c r="O69" s="3">
        <v>119.90251000000001</v>
      </c>
      <c r="P69" s="3">
        <v>1309.5</v>
      </c>
      <c r="Q69" s="3">
        <v>16780.099999999999</v>
      </c>
      <c r="R69" s="3">
        <v>0.63460000000000005</v>
      </c>
      <c r="S69" s="3">
        <v>10.64865</v>
      </c>
      <c r="T69" s="3">
        <v>130.55116000000001</v>
      </c>
    </row>
    <row r="70" spans="1:20" ht="24" x14ac:dyDescent="0.25">
      <c r="A70" s="2">
        <v>67</v>
      </c>
      <c r="B70" s="2">
        <v>2023</v>
      </c>
      <c r="C70" s="2" t="s">
        <v>39</v>
      </c>
      <c r="D70" s="2" t="s">
        <v>1243</v>
      </c>
      <c r="E70" s="2" t="s">
        <v>42</v>
      </c>
      <c r="F70" s="2" t="s">
        <v>1165</v>
      </c>
      <c r="G70" s="2" t="s">
        <v>33</v>
      </c>
      <c r="H70" s="2" t="s">
        <v>1161</v>
      </c>
      <c r="I70" s="2" t="s">
        <v>1169</v>
      </c>
      <c r="J70" s="2" t="s">
        <v>557</v>
      </c>
      <c r="K70" s="2">
        <v>27.42</v>
      </c>
      <c r="L70" s="2">
        <v>5177.5</v>
      </c>
      <c r="M70" s="2">
        <v>141967.04999999999</v>
      </c>
      <c r="N70" s="2">
        <v>6.2E-2</v>
      </c>
      <c r="O70" s="2">
        <v>8.8019599999999993</v>
      </c>
      <c r="P70" s="2">
        <v>4602.6000000000004</v>
      </c>
      <c r="Q70" s="2">
        <v>17665.7</v>
      </c>
      <c r="R70" s="2">
        <v>0.77129999999999999</v>
      </c>
      <c r="S70" s="2">
        <v>13.62555</v>
      </c>
      <c r="T70" s="2">
        <v>22.427510000000002</v>
      </c>
    </row>
    <row r="71" spans="1:20" x14ac:dyDescent="0.25">
      <c r="A71" s="3">
        <v>68</v>
      </c>
      <c r="B71" s="3">
        <v>2023</v>
      </c>
      <c r="C71" s="3" t="s">
        <v>46</v>
      </c>
      <c r="D71" s="3" t="s">
        <v>1244</v>
      </c>
      <c r="E71" s="3" t="s">
        <v>114</v>
      </c>
      <c r="F71" s="3" t="s">
        <v>1160</v>
      </c>
      <c r="G71" s="3" t="s">
        <v>24</v>
      </c>
      <c r="H71" s="3" t="s">
        <v>1176</v>
      </c>
      <c r="I71" s="3" t="s">
        <v>560</v>
      </c>
      <c r="J71" s="3" t="s">
        <v>576</v>
      </c>
      <c r="K71" s="3">
        <v>74.819999999999993</v>
      </c>
      <c r="L71" s="3">
        <v>7201.7</v>
      </c>
      <c r="M71" s="3">
        <v>538831.18999999994</v>
      </c>
      <c r="N71" s="3">
        <v>0.8</v>
      </c>
      <c r="O71" s="3">
        <v>431.06495000000001</v>
      </c>
      <c r="P71" s="3">
        <v>3692.9</v>
      </c>
      <c r="Q71" s="3">
        <v>23162.5</v>
      </c>
      <c r="R71" s="3">
        <v>0.8054</v>
      </c>
      <c r="S71" s="3">
        <v>18.655080000000002</v>
      </c>
      <c r="T71" s="3">
        <v>449.72003000000001</v>
      </c>
    </row>
    <row r="72" spans="1:20" x14ac:dyDescent="0.25">
      <c r="A72" s="2">
        <v>69</v>
      </c>
      <c r="B72" s="2">
        <v>2023</v>
      </c>
      <c r="C72" s="2" t="s">
        <v>22</v>
      </c>
      <c r="D72" s="2" t="s">
        <v>1245</v>
      </c>
      <c r="E72" s="2" t="s">
        <v>106</v>
      </c>
      <c r="F72" s="2" t="s">
        <v>1179</v>
      </c>
      <c r="G72" s="2" t="s">
        <v>70</v>
      </c>
      <c r="H72" s="2" t="s">
        <v>1176</v>
      </c>
      <c r="I72" s="2" t="s">
        <v>548</v>
      </c>
      <c r="J72" s="2" t="s">
        <v>1163</v>
      </c>
      <c r="K72" s="2">
        <v>265.67</v>
      </c>
      <c r="L72" s="2">
        <v>1280.3</v>
      </c>
      <c r="M72" s="2">
        <v>340137.3</v>
      </c>
      <c r="N72" s="2">
        <v>2.8000000000000001E-2</v>
      </c>
      <c r="O72" s="2">
        <v>9.5238399999999999</v>
      </c>
      <c r="P72" s="2">
        <v>4424.5</v>
      </c>
      <c r="Q72" s="2">
        <v>27118</v>
      </c>
      <c r="R72" s="2">
        <v>0.68330000000000002</v>
      </c>
      <c r="S72" s="2">
        <v>18.529730000000001</v>
      </c>
      <c r="T72" s="2">
        <v>28.053570000000001</v>
      </c>
    </row>
    <row r="73" spans="1:20" x14ac:dyDescent="0.25">
      <c r="A73" s="3">
        <v>70</v>
      </c>
      <c r="B73" s="3">
        <v>2023</v>
      </c>
      <c r="C73" s="3" t="s">
        <v>32</v>
      </c>
      <c r="D73" s="3" t="s">
        <v>1246</v>
      </c>
      <c r="E73" s="3" t="s">
        <v>128</v>
      </c>
      <c r="F73" s="3" t="s">
        <v>1182</v>
      </c>
      <c r="G73" s="3" t="s">
        <v>110</v>
      </c>
      <c r="H73" s="3" t="s">
        <v>1174</v>
      </c>
      <c r="I73" s="3" t="s">
        <v>1162</v>
      </c>
      <c r="J73" s="3" t="s">
        <v>1190</v>
      </c>
      <c r="K73" s="3">
        <v>36.46</v>
      </c>
      <c r="L73" s="3">
        <v>2962.5</v>
      </c>
      <c r="M73" s="3">
        <v>108012.75</v>
      </c>
      <c r="N73" s="3">
        <v>0.25</v>
      </c>
      <c r="O73" s="3">
        <v>27.00319</v>
      </c>
      <c r="P73" s="3">
        <v>3801.4</v>
      </c>
      <c r="Q73" s="3">
        <v>25467.5</v>
      </c>
      <c r="R73" s="3">
        <v>0.73980000000000001</v>
      </c>
      <c r="S73" s="3">
        <v>18.840859999999999</v>
      </c>
      <c r="T73" s="3">
        <v>45.844050000000003</v>
      </c>
    </row>
    <row r="74" spans="1:20" x14ac:dyDescent="0.25">
      <c r="A74" s="2">
        <v>71</v>
      </c>
      <c r="B74" s="2">
        <v>2023</v>
      </c>
      <c r="C74" s="2" t="s">
        <v>39</v>
      </c>
      <c r="D74" s="2" t="s">
        <v>1247</v>
      </c>
      <c r="E74" s="2" t="s">
        <v>112</v>
      </c>
      <c r="F74" s="2" t="s">
        <v>1182</v>
      </c>
      <c r="G74" s="2" t="s">
        <v>54</v>
      </c>
      <c r="H74" s="2" t="s">
        <v>1168</v>
      </c>
      <c r="I74" s="2" t="s">
        <v>1162</v>
      </c>
      <c r="J74" s="2" t="s">
        <v>1163</v>
      </c>
      <c r="K74" s="2">
        <v>13.49</v>
      </c>
      <c r="L74" s="2">
        <v>233.2</v>
      </c>
      <c r="M74" s="2">
        <v>3145.87</v>
      </c>
      <c r="N74" s="2">
        <v>0.25</v>
      </c>
      <c r="O74" s="2">
        <v>0.78647</v>
      </c>
      <c r="P74" s="2">
        <v>3230.4</v>
      </c>
      <c r="Q74" s="2">
        <v>33943.300000000003</v>
      </c>
      <c r="R74" s="2">
        <v>0.58099999999999996</v>
      </c>
      <c r="S74" s="2">
        <v>19.721060000000001</v>
      </c>
      <c r="T74" s="2">
        <v>20.507529999999999</v>
      </c>
    </row>
    <row r="75" spans="1:20" x14ac:dyDescent="0.25">
      <c r="A75" s="3">
        <v>72</v>
      </c>
      <c r="B75" s="3">
        <v>2023</v>
      </c>
      <c r="C75" s="3" t="s">
        <v>46</v>
      </c>
      <c r="D75" s="3" t="s">
        <v>1248</v>
      </c>
      <c r="E75" s="3" t="s">
        <v>99</v>
      </c>
      <c r="F75" s="3" t="s">
        <v>1182</v>
      </c>
      <c r="G75" s="3" t="s">
        <v>24</v>
      </c>
      <c r="H75" s="3" t="s">
        <v>1166</v>
      </c>
      <c r="I75" s="3" t="s">
        <v>553</v>
      </c>
      <c r="J75" s="3" t="s">
        <v>1170</v>
      </c>
      <c r="K75" s="3">
        <v>3.32</v>
      </c>
      <c r="L75" s="3">
        <v>935.2</v>
      </c>
      <c r="M75" s="3">
        <v>3104.86</v>
      </c>
      <c r="N75" s="3">
        <v>0.1</v>
      </c>
      <c r="O75" s="3">
        <v>0.31048999999999999</v>
      </c>
      <c r="P75" s="3">
        <v>4594</v>
      </c>
      <c r="Q75" s="3">
        <v>16692</v>
      </c>
      <c r="R75" s="3">
        <v>0.72430000000000005</v>
      </c>
      <c r="S75" s="3">
        <v>12.090020000000001</v>
      </c>
      <c r="T75" s="3">
        <v>12.400510000000001</v>
      </c>
    </row>
    <row r="76" spans="1:20" ht="24" x14ac:dyDescent="0.25">
      <c r="A76" s="2">
        <v>73</v>
      </c>
      <c r="B76" s="2">
        <v>2023</v>
      </c>
      <c r="C76" s="2" t="s">
        <v>22</v>
      </c>
      <c r="D76" s="2" t="s">
        <v>1249</v>
      </c>
      <c r="E76" s="2" t="s">
        <v>114</v>
      </c>
      <c r="F76" s="2" t="s">
        <v>1172</v>
      </c>
      <c r="G76" s="2" t="s">
        <v>58</v>
      </c>
      <c r="H76" s="2" t="s">
        <v>1166</v>
      </c>
      <c r="I76" s="2" t="s">
        <v>1169</v>
      </c>
      <c r="J76" s="2" t="s">
        <v>557</v>
      </c>
      <c r="K76" s="2">
        <v>72.760000000000005</v>
      </c>
      <c r="L76" s="2">
        <v>7601.1</v>
      </c>
      <c r="M76" s="2">
        <v>553056.04</v>
      </c>
      <c r="N76" s="2">
        <v>6.2E-2</v>
      </c>
      <c r="O76" s="2">
        <v>34.289470000000001</v>
      </c>
      <c r="P76" s="2">
        <v>787.3</v>
      </c>
      <c r="Q76" s="2">
        <v>41111.1</v>
      </c>
      <c r="R76" s="2">
        <v>0.77080000000000004</v>
      </c>
      <c r="S76" s="2">
        <v>31.68844</v>
      </c>
      <c r="T76" s="2">
        <v>65.977909999999994</v>
      </c>
    </row>
    <row r="77" spans="1:20" x14ac:dyDescent="0.25">
      <c r="A77" s="3">
        <v>74</v>
      </c>
      <c r="B77" s="3">
        <v>2023</v>
      </c>
      <c r="C77" s="3" t="s">
        <v>32</v>
      </c>
      <c r="D77" s="3" t="s">
        <v>1250</v>
      </c>
      <c r="E77" s="3" t="s">
        <v>72</v>
      </c>
      <c r="F77" s="3" t="s">
        <v>1179</v>
      </c>
      <c r="G77" s="3" t="s">
        <v>204</v>
      </c>
      <c r="H77" s="3" t="s">
        <v>1174</v>
      </c>
      <c r="I77" s="3" t="s">
        <v>570</v>
      </c>
      <c r="J77" s="3" t="s">
        <v>557</v>
      </c>
      <c r="K77" s="3">
        <v>37.33</v>
      </c>
      <c r="L77" s="3">
        <v>5936.7</v>
      </c>
      <c r="M77" s="3">
        <v>221617.01</v>
      </c>
      <c r="N77" s="3">
        <v>1.2E-2</v>
      </c>
      <c r="O77" s="3">
        <v>2.6594000000000002</v>
      </c>
      <c r="P77" s="3">
        <v>925.4</v>
      </c>
      <c r="Q77" s="3">
        <v>33733.9</v>
      </c>
      <c r="R77" s="3">
        <v>0.35560000000000003</v>
      </c>
      <c r="S77" s="3">
        <v>11.99577</v>
      </c>
      <c r="T77" s="3">
        <v>14.65517</v>
      </c>
    </row>
    <row r="78" spans="1:20" x14ac:dyDescent="0.25">
      <c r="A78" s="2">
        <v>75</v>
      </c>
      <c r="B78" s="2">
        <v>2023</v>
      </c>
      <c r="C78" s="2" t="s">
        <v>39</v>
      </c>
      <c r="D78" s="2" t="s">
        <v>1251</v>
      </c>
      <c r="E78" s="2" t="s">
        <v>67</v>
      </c>
      <c r="F78" s="2" t="s">
        <v>1160</v>
      </c>
      <c r="G78" s="2" t="s">
        <v>154</v>
      </c>
      <c r="H78" s="2" t="s">
        <v>1166</v>
      </c>
      <c r="I78" s="2" t="s">
        <v>548</v>
      </c>
      <c r="J78" s="2" t="s">
        <v>1163</v>
      </c>
      <c r="K78" s="2">
        <v>214.35</v>
      </c>
      <c r="L78" s="2">
        <v>7143.6</v>
      </c>
      <c r="M78" s="2">
        <v>1531230.66</v>
      </c>
      <c r="N78" s="2">
        <v>2.8000000000000001E-2</v>
      </c>
      <c r="O78" s="2">
        <v>42.874459999999999</v>
      </c>
      <c r="P78" s="2">
        <v>2708.3</v>
      </c>
      <c r="Q78" s="2">
        <v>22381.9</v>
      </c>
      <c r="R78" s="2">
        <v>0.37390000000000001</v>
      </c>
      <c r="S78" s="2">
        <v>8.3685899999999993</v>
      </c>
      <c r="T78" s="2">
        <v>51.243049999999997</v>
      </c>
    </row>
    <row r="79" spans="1:20" ht="24" x14ac:dyDescent="0.25">
      <c r="A79" s="3">
        <v>76</v>
      </c>
      <c r="B79" s="3">
        <v>2023</v>
      </c>
      <c r="C79" s="3" t="s">
        <v>46</v>
      </c>
      <c r="D79" s="3" t="s">
        <v>1252</v>
      </c>
      <c r="E79" s="3" t="s">
        <v>35</v>
      </c>
      <c r="F79" s="3" t="s">
        <v>1179</v>
      </c>
      <c r="G79" s="3" t="s">
        <v>88</v>
      </c>
      <c r="H79" s="3" t="s">
        <v>1168</v>
      </c>
      <c r="I79" s="3" t="s">
        <v>1169</v>
      </c>
      <c r="J79" s="3" t="s">
        <v>1190</v>
      </c>
      <c r="K79" s="3">
        <v>92.57</v>
      </c>
      <c r="L79" s="3">
        <v>438.3</v>
      </c>
      <c r="M79" s="3">
        <v>40573.43</v>
      </c>
      <c r="N79" s="3">
        <v>6.2E-2</v>
      </c>
      <c r="O79" s="3">
        <v>2.5155500000000002</v>
      </c>
      <c r="P79" s="3">
        <v>122.9</v>
      </c>
      <c r="Q79" s="3">
        <v>38734.300000000003</v>
      </c>
      <c r="R79" s="3">
        <v>0.73360000000000003</v>
      </c>
      <c r="S79" s="3">
        <v>28.415479999999999</v>
      </c>
      <c r="T79" s="3">
        <v>30.93103</v>
      </c>
    </row>
    <row r="80" spans="1:20" x14ac:dyDescent="0.25">
      <c r="A80" s="2">
        <v>77</v>
      </c>
      <c r="B80" s="2">
        <v>2023</v>
      </c>
      <c r="C80" s="2" t="s">
        <v>22</v>
      </c>
      <c r="D80" s="2" t="s">
        <v>1253</v>
      </c>
      <c r="E80" s="2" t="s">
        <v>106</v>
      </c>
      <c r="F80" s="2" t="s">
        <v>1179</v>
      </c>
      <c r="G80" s="2" t="s">
        <v>70</v>
      </c>
      <c r="H80" s="2" t="s">
        <v>1166</v>
      </c>
      <c r="I80" s="2" t="s">
        <v>553</v>
      </c>
      <c r="J80" s="2" t="s">
        <v>557</v>
      </c>
      <c r="K80" s="2">
        <v>4.91</v>
      </c>
      <c r="L80" s="2">
        <v>243</v>
      </c>
      <c r="M80" s="2">
        <v>1193.1300000000001</v>
      </c>
      <c r="N80" s="2">
        <v>0.1</v>
      </c>
      <c r="O80" s="2">
        <v>0.11931</v>
      </c>
      <c r="P80" s="2">
        <v>171.3</v>
      </c>
      <c r="Q80" s="2">
        <v>41116.1</v>
      </c>
      <c r="R80" s="2">
        <v>0.69</v>
      </c>
      <c r="S80" s="2">
        <v>28.37011</v>
      </c>
      <c r="T80" s="2">
        <v>28.489419999999999</v>
      </c>
    </row>
    <row r="81" spans="1:20" ht="24" x14ac:dyDescent="0.25">
      <c r="A81" s="3">
        <v>78</v>
      </c>
      <c r="B81" s="3">
        <v>2023</v>
      </c>
      <c r="C81" s="3" t="s">
        <v>32</v>
      </c>
      <c r="D81" s="3" t="s">
        <v>1254</v>
      </c>
      <c r="E81" s="3" t="s">
        <v>143</v>
      </c>
      <c r="F81" s="3" t="s">
        <v>1160</v>
      </c>
      <c r="G81" s="3" t="s">
        <v>65</v>
      </c>
      <c r="H81" s="3" t="s">
        <v>1161</v>
      </c>
      <c r="I81" s="3" t="s">
        <v>1169</v>
      </c>
      <c r="J81" s="3" t="s">
        <v>1163</v>
      </c>
      <c r="K81" s="3">
        <v>50.2</v>
      </c>
      <c r="L81" s="3">
        <v>3337.1</v>
      </c>
      <c r="M81" s="3">
        <v>167522.42000000001</v>
      </c>
      <c r="N81" s="3">
        <v>6.2E-2</v>
      </c>
      <c r="O81" s="3">
        <v>10.38639</v>
      </c>
      <c r="P81" s="3">
        <v>627.70000000000005</v>
      </c>
      <c r="Q81" s="3">
        <v>16693.5</v>
      </c>
      <c r="R81" s="3">
        <v>0.63100000000000001</v>
      </c>
      <c r="S81" s="3">
        <v>10.5336</v>
      </c>
      <c r="T81" s="3">
        <v>20.919989999999999</v>
      </c>
    </row>
    <row r="82" spans="1:20" x14ac:dyDescent="0.25">
      <c r="A82" s="2">
        <v>79</v>
      </c>
      <c r="B82" s="2">
        <v>2023</v>
      </c>
      <c r="C82" s="2" t="s">
        <v>39</v>
      </c>
      <c r="D82" s="2" t="s">
        <v>1255</v>
      </c>
      <c r="E82" s="2" t="s">
        <v>112</v>
      </c>
      <c r="F82" s="2" t="s">
        <v>1172</v>
      </c>
      <c r="G82" s="2" t="s">
        <v>33</v>
      </c>
      <c r="H82" s="2" t="s">
        <v>1168</v>
      </c>
      <c r="I82" s="2" t="s">
        <v>560</v>
      </c>
      <c r="J82" s="2" t="s">
        <v>1186</v>
      </c>
      <c r="K82" s="2">
        <v>36.33</v>
      </c>
      <c r="L82" s="2">
        <v>1726</v>
      </c>
      <c r="M82" s="2">
        <v>62705.58</v>
      </c>
      <c r="N82" s="2">
        <v>0.8</v>
      </c>
      <c r="O82" s="2">
        <v>50.164459999999998</v>
      </c>
      <c r="P82" s="2">
        <v>1847.2</v>
      </c>
      <c r="Q82" s="2">
        <v>9094.2999999999993</v>
      </c>
      <c r="R82" s="2">
        <v>0.55110000000000003</v>
      </c>
      <c r="S82" s="2">
        <v>5.01187</v>
      </c>
      <c r="T82" s="2">
        <v>55.17633</v>
      </c>
    </row>
    <row r="83" spans="1:20" x14ac:dyDescent="0.25">
      <c r="A83" s="3">
        <v>80</v>
      </c>
      <c r="B83" s="3">
        <v>2023</v>
      </c>
      <c r="C83" s="3" t="s">
        <v>46</v>
      </c>
      <c r="D83" s="3" t="s">
        <v>1256</v>
      </c>
      <c r="E83" s="3" t="s">
        <v>143</v>
      </c>
      <c r="F83" s="3" t="s">
        <v>1182</v>
      </c>
      <c r="G83" s="3" t="s">
        <v>117</v>
      </c>
      <c r="H83" s="3" t="s">
        <v>1161</v>
      </c>
      <c r="I83" s="3" t="s">
        <v>548</v>
      </c>
      <c r="J83" s="3" t="s">
        <v>1186</v>
      </c>
      <c r="K83" s="3">
        <v>19.899999999999999</v>
      </c>
      <c r="L83" s="3">
        <v>6524.4</v>
      </c>
      <c r="M83" s="3">
        <v>129835.56</v>
      </c>
      <c r="N83" s="3">
        <v>2.8000000000000001E-2</v>
      </c>
      <c r="O83" s="3">
        <v>3.6354000000000002</v>
      </c>
      <c r="P83" s="3">
        <v>3284.7</v>
      </c>
      <c r="Q83" s="3">
        <v>18764.5</v>
      </c>
      <c r="R83" s="3">
        <v>0.38369999999999999</v>
      </c>
      <c r="S83" s="3">
        <v>7.1999399999999998</v>
      </c>
      <c r="T83" s="3">
        <v>10.83534</v>
      </c>
    </row>
    <row r="84" spans="1:20" x14ac:dyDescent="0.25">
      <c r="A84" s="2">
        <v>81</v>
      </c>
      <c r="B84" s="2">
        <v>2023</v>
      </c>
      <c r="C84" s="2" t="s">
        <v>22</v>
      </c>
      <c r="D84" s="2" t="s">
        <v>1257</v>
      </c>
      <c r="E84" s="2" t="s">
        <v>106</v>
      </c>
      <c r="F84" s="2" t="s">
        <v>1160</v>
      </c>
      <c r="G84" s="2" t="s">
        <v>88</v>
      </c>
      <c r="H84" s="2" t="s">
        <v>1176</v>
      </c>
      <c r="I84" s="2" t="s">
        <v>553</v>
      </c>
      <c r="J84" s="2" t="s">
        <v>557</v>
      </c>
      <c r="K84" s="2">
        <v>213.79</v>
      </c>
      <c r="L84" s="2">
        <v>6334.3</v>
      </c>
      <c r="M84" s="2">
        <v>1354210</v>
      </c>
      <c r="N84" s="2">
        <v>0.1</v>
      </c>
      <c r="O84" s="2">
        <v>135.42099999999999</v>
      </c>
      <c r="P84" s="2">
        <v>4618.8999999999996</v>
      </c>
      <c r="Q84" s="2">
        <v>28675.7</v>
      </c>
      <c r="R84" s="2">
        <v>0.47599999999999998</v>
      </c>
      <c r="S84" s="2">
        <v>13.64963</v>
      </c>
      <c r="T84" s="2">
        <v>149.07062999999999</v>
      </c>
    </row>
    <row r="85" spans="1:20" x14ac:dyDescent="0.25">
      <c r="A85" s="3">
        <v>82</v>
      </c>
      <c r="B85" s="3">
        <v>2023</v>
      </c>
      <c r="C85" s="3" t="s">
        <v>32</v>
      </c>
      <c r="D85" s="3" t="s">
        <v>1258</v>
      </c>
      <c r="E85" s="3" t="s">
        <v>106</v>
      </c>
      <c r="F85" s="3" t="s">
        <v>1165</v>
      </c>
      <c r="G85" s="3" t="s">
        <v>120</v>
      </c>
      <c r="H85" s="3" t="s">
        <v>1161</v>
      </c>
      <c r="I85" s="3" t="s">
        <v>570</v>
      </c>
      <c r="J85" s="3" t="s">
        <v>1186</v>
      </c>
      <c r="K85" s="3">
        <v>52.68</v>
      </c>
      <c r="L85" s="3">
        <v>6098.5</v>
      </c>
      <c r="M85" s="3">
        <v>321268.98</v>
      </c>
      <c r="N85" s="3">
        <v>1.2E-2</v>
      </c>
      <c r="O85" s="3">
        <v>3.8552300000000002</v>
      </c>
      <c r="P85" s="3">
        <v>3469.4</v>
      </c>
      <c r="Q85" s="3">
        <v>48912.1</v>
      </c>
      <c r="R85" s="3">
        <v>0.68320000000000003</v>
      </c>
      <c r="S85" s="3">
        <v>33.41675</v>
      </c>
      <c r="T85" s="3">
        <v>37.271979999999999</v>
      </c>
    </row>
    <row r="86" spans="1:20" x14ac:dyDescent="0.25">
      <c r="A86" s="2">
        <v>83</v>
      </c>
      <c r="B86" s="2">
        <v>2023</v>
      </c>
      <c r="C86" s="2" t="s">
        <v>39</v>
      </c>
      <c r="D86" s="2" t="s">
        <v>1259</v>
      </c>
      <c r="E86" s="2" t="s">
        <v>89</v>
      </c>
      <c r="F86" s="2" t="s">
        <v>1160</v>
      </c>
      <c r="G86" s="2" t="s">
        <v>92</v>
      </c>
      <c r="H86" s="2" t="s">
        <v>1166</v>
      </c>
      <c r="I86" s="2" t="s">
        <v>560</v>
      </c>
      <c r="J86" s="2" t="s">
        <v>1177</v>
      </c>
      <c r="K86" s="2">
        <v>153.36000000000001</v>
      </c>
      <c r="L86" s="2">
        <v>5939.7</v>
      </c>
      <c r="M86" s="2">
        <v>910912.39</v>
      </c>
      <c r="N86" s="2">
        <v>0.8</v>
      </c>
      <c r="O86" s="2">
        <v>728.72991000000002</v>
      </c>
      <c r="P86" s="2">
        <v>2566.8000000000002</v>
      </c>
      <c r="Q86" s="2">
        <v>35379.1</v>
      </c>
      <c r="R86" s="2">
        <v>0.35659999999999997</v>
      </c>
      <c r="S86" s="2">
        <v>12.61619</v>
      </c>
      <c r="T86" s="2">
        <v>741.34609999999998</v>
      </c>
    </row>
    <row r="87" spans="1:20" x14ac:dyDescent="0.25">
      <c r="A87" s="3">
        <v>84</v>
      </c>
      <c r="B87" s="3">
        <v>2023</v>
      </c>
      <c r="C87" s="3" t="s">
        <v>46</v>
      </c>
      <c r="D87" s="3" t="s">
        <v>1260</v>
      </c>
      <c r="E87" s="3" t="s">
        <v>72</v>
      </c>
      <c r="F87" s="3" t="s">
        <v>1179</v>
      </c>
      <c r="G87" s="3" t="s">
        <v>110</v>
      </c>
      <c r="H87" s="3" t="s">
        <v>1176</v>
      </c>
      <c r="I87" s="3" t="s">
        <v>548</v>
      </c>
      <c r="J87" s="3" t="s">
        <v>1190</v>
      </c>
      <c r="K87" s="3">
        <v>221.4</v>
      </c>
      <c r="L87" s="3">
        <v>6062.8</v>
      </c>
      <c r="M87" s="3">
        <v>1342303.92</v>
      </c>
      <c r="N87" s="3">
        <v>2.8000000000000001E-2</v>
      </c>
      <c r="O87" s="3">
        <v>37.584510000000002</v>
      </c>
      <c r="P87" s="3">
        <v>3136.9</v>
      </c>
      <c r="Q87" s="3">
        <v>3466.2</v>
      </c>
      <c r="R87" s="3">
        <v>0.5373</v>
      </c>
      <c r="S87" s="3">
        <v>1.86239</v>
      </c>
      <c r="T87" s="3">
        <v>39.446899999999999</v>
      </c>
    </row>
    <row r="88" spans="1:20" ht="24" x14ac:dyDescent="0.25">
      <c r="A88" s="2">
        <v>85</v>
      </c>
      <c r="B88" s="2">
        <v>2023</v>
      </c>
      <c r="C88" s="2" t="s">
        <v>22</v>
      </c>
      <c r="D88" s="2" t="s">
        <v>1261</v>
      </c>
      <c r="E88" s="2" t="s">
        <v>112</v>
      </c>
      <c r="F88" s="2" t="s">
        <v>1179</v>
      </c>
      <c r="G88" s="2" t="s">
        <v>117</v>
      </c>
      <c r="H88" s="2" t="s">
        <v>1174</v>
      </c>
      <c r="I88" s="2" t="s">
        <v>1169</v>
      </c>
      <c r="J88" s="2" t="s">
        <v>576</v>
      </c>
      <c r="K88" s="2">
        <v>11.47</v>
      </c>
      <c r="L88" s="2">
        <v>7388.8</v>
      </c>
      <c r="M88" s="2">
        <v>84749.54</v>
      </c>
      <c r="N88" s="2">
        <v>6.2E-2</v>
      </c>
      <c r="O88" s="2">
        <v>5.2544700000000004</v>
      </c>
      <c r="P88" s="2">
        <v>3030.6</v>
      </c>
      <c r="Q88" s="2">
        <v>47320.9</v>
      </c>
      <c r="R88" s="2">
        <v>0.71960000000000002</v>
      </c>
      <c r="S88" s="2">
        <v>34.052120000000002</v>
      </c>
      <c r="T88" s="2">
        <v>39.30659</v>
      </c>
    </row>
    <row r="89" spans="1:20" x14ac:dyDescent="0.25">
      <c r="A89" s="3">
        <v>86</v>
      </c>
      <c r="B89" s="3">
        <v>2023</v>
      </c>
      <c r="C89" s="3" t="s">
        <v>32</v>
      </c>
      <c r="D89" s="3" t="s">
        <v>1262</v>
      </c>
      <c r="E89" s="3" t="s">
        <v>140</v>
      </c>
      <c r="F89" s="3" t="s">
        <v>1165</v>
      </c>
      <c r="G89" s="3" t="s">
        <v>88</v>
      </c>
      <c r="H89" s="3" t="s">
        <v>1168</v>
      </c>
      <c r="I89" s="3" t="s">
        <v>1162</v>
      </c>
      <c r="J89" s="3" t="s">
        <v>1190</v>
      </c>
      <c r="K89" s="3">
        <v>237.55</v>
      </c>
      <c r="L89" s="3">
        <v>3330.8</v>
      </c>
      <c r="M89" s="3">
        <v>791231.54</v>
      </c>
      <c r="N89" s="3">
        <v>0.25</v>
      </c>
      <c r="O89" s="3">
        <v>197.80788000000001</v>
      </c>
      <c r="P89" s="3">
        <v>4082.3</v>
      </c>
      <c r="Q89" s="3">
        <v>37652.300000000003</v>
      </c>
      <c r="R89" s="3">
        <v>0.46450000000000002</v>
      </c>
      <c r="S89" s="3">
        <v>17.48949</v>
      </c>
      <c r="T89" s="3">
        <v>215.29737</v>
      </c>
    </row>
    <row r="90" spans="1:20" x14ac:dyDescent="0.25">
      <c r="A90" s="2">
        <v>87</v>
      </c>
      <c r="B90" s="2">
        <v>2023</v>
      </c>
      <c r="C90" s="2" t="s">
        <v>39</v>
      </c>
      <c r="D90" s="2" t="s">
        <v>1263</v>
      </c>
      <c r="E90" s="2" t="s">
        <v>143</v>
      </c>
      <c r="F90" s="2" t="s">
        <v>1160</v>
      </c>
      <c r="G90" s="2" t="s">
        <v>54</v>
      </c>
      <c r="H90" s="2" t="s">
        <v>1176</v>
      </c>
      <c r="I90" s="2" t="s">
        <v>1162</v>
      </c>
      <c r="J90" s="2" t="s">
        <v>1170</v>
      </c>
      <c r="K90" s="2">
        <v>16.32</v>
      </c>
      <c r="L90" s="2">
        <v>7343.1</v>
      </c>
      <c r="M90" s="2">
        <v>119839.39</v>
      </c>
      <c r="N90" s="2">
        <v>0.25</v>
      </c>
      <c r="O90" s="2">
        <v>29.959849999999999</v>
      </c>
      <c r="P90" s="2">
        <v>4943</v>
      </c>
      <c r="Q90" s="2">
        <v>40171.9</v>
      </c>
      <c r="R90" s="2">
        <v>0.69810000000000005</v>
      </c>
      <c r="S90" s="2">
        <v>28.044</v>
      </c>
      <c r="T90" s="2">
        <v>58.00385</v>
      </c>
    </row>
    <row r="91" spans="1:20" x14ac:dyDescent="0.25">
      <c r="A91" s="3">
        <v>88</v>
      </c>
      <c r="B91" s="3">
        <v>2023</v>
      </c>
      <c r="C91" s="3" t="s">
        <v>46</v>
      </c>
      <c r="D91" s="3" t="s">
        <v>1264</v>
      </c>
      <c r="E91" s="3" t="s">
        <v>89</v>
      </c>
      <c r="F91" s="3" t="s">
        <v>1179</v>
      </c>
      <c r="G91" s="3" t="s">
        <v>65</v>
      </c>
      <c r="H91" s="3" t="s">
        <v>1168</v>
      </c>
      <c r="I91" s="3" t="s">
        <v>570</v>
      </c>
      <c r="J91" s="3" t="s">
        <v>578</v>
      </c>
      <c r="K91" s="3">
        <v>55.15</v>
      </c>
      <c r="L91" s="3">
        <v>5045.7</v>
      </c>
      <c r="M91" s="3">
        <v>278270.34999999998</v>
      </c>
      <c r="N91" s="3">
        <v>1.2E-2</v>
      </c>
      <c r="O91" s="3">
        <v>3.3392400000000002</v>
      </c>
      <c r="P91" s="3">
        <v>416.6</v>
      </c>
      <c r="Q91" s="3">
        <v>24836.3</v>
      </c>
      <c r="R91" s="3">
        <v>0.82679999999999998</v>
      </c>
      <c r="S91" s="3">
        <v>20.534649999999999</v>
      </c>
      <c r="T91" s="3">
        <v>23.873889999999999</v>
      </c>
    </row>
    <row r="92" spans="1:20" x14ac:dyDescent="0.25">
      <c r="A92" s="2">
        <v>89</v>
      </c>
      <c r="B92" s="2">
        <v>2023</v>
      </c>
      <c r="C92" s="2" t="s">
        <v>22</v>
      </c>
      <c r="D92" s="2" t="s">
        <v>1265</v>
      </c>
      <c r="E92" s="2" t="s">
        <v>140</v>
      </c>
      <c r="F92" s="2" t="s">
        <v>1182</v>
      </c>
      <c r="G92" s="2" t="s">
        <v>117</v>
      </c>
      <c r="H92" s="2" t="s">
        <v>1168</v>
      </c>
      <c r="I92" s="2" t="s">
        <v>548</v>
      </c>
      <c r="J92" s="2" t="s">
        <v>1190</v>
      </c>
      <c r="K92" s="2">
        <v>177.83</v>
      </c>
      <c r="L92" s="2">
        <v>6653.1</v>
      </c>
      <c r="M92" s="2">
        <v>1183120.77</v>
      </c>
      <c r="N92" s="2">
        <v>2.8000000000000001E-2</v>
      </c>
      <c r="O92" s="2">
        <v>33.127380000000002</v>
      </c>
      <c r="P92" s="2">
        <v>4665.8999999999996</v>
      </c>
      <c r="Q92" s="2">
        <v>12197.4</v>
      </c>
      <c r="R92" s="2">
        <v>0.3891</v>
      </c>
      <c r="S92" s="2">
        <v>4.7460100000000001</v>
      </c>
      <c r="T92" s="2">
        <v>37.873390000000001</v>
      </c>
    </row>
    <row r="93" spans="1:20" x14ac:dyDescent="0.25">
      <c r="A93" s="3">
        <v>90</v>
      </c>
      <c r="B93" s="3">
        <v>2023</v>
      </c>
      <c r="C93" s="3" t="s">
        <v>32</v>
      </c>
      <c r="D93" s="3" t="s">
        <v>1266</v>
      </c>
      <c r="E93" s="3" t="s">
        <v>143</v>
      </c>
      <c r="F93" s="3" t="s">
        <v>1165</v>
      </c>
      <c r="G93" s="3" t="s">
        <v>54</v>
      </c>
      <c r="H93" s="3" t="s">
        <v>1176</v>
      </c>
      <c r="I93" s="3" t="s">
        <v>548</v>
      </c>
      <c r="J93" s="3" t="s">
        <v>578</v>
      </c>
      <c r="K93" s="3">
        <v>127.26</v>
      </c>
      <c r="L93" s="3">
        <v>4854.7</v>
      </c>
      <c r="M93" s="3">
        <v>617809.12</v>
      </c>
      <c r="N93" s="3">
        <v>2.8000000000000001E-2</v>
      </c>
      <c r="O93" s="3">
        <v>17.298660000000002</v>
      </c>
      <c r="P93" s="3">
        <v>1585.2</v>
      </c>
      <c r="Q93" s="3">
        <v>29032.9</v>
      </c>
      <c r="R93" s="3">
        <v>0.83389999999999997</v>
      </c>
      <c r="S93" s="3">
        <v>24.210540000000002</v>
      </c>
      <c r="T93" s="3">
        <v>41.5092</v>
      </c>
    </row>
    <row r="94" spans="1:20" x14ac:dyDescent="0.25">
      <c r="A94" s="2">
        <v>91</v>
      </c>
      <c r="B94" s="2">
        <v>2023</v>
      </c>
      <c r="C94" s="2" t="s">
        <v>39</v>
      </c>
      <c r="D94" s="2" t="s">
        <v>1267</v>
      </c>
      <c r="E94" s="2" t="s">
        <v>42</v>
      </c>
      <c r="F94" s="2" t="s">
        <v>1179</v>
      </c>
      <c r="G94" s="2" t="s">
        <v>54</v>
      </c>
      <c r="H94" s="2" t="s">
        <v>1176</v>
      </c>
      <c r="I94" s="2" t="s">
        <v>570</v>
      </c>
      <c r="J94" s="2" t="s">
        <v>576</v>
      </c>
      <c r="K94" s="2">
        <v>119.53</v>
      </c>
      <c r="L94" s="2">
        <v>1358.8</v>
      </c>
      <c r="M94" s="2">
        <v>162417.35999999999</v>
      </c>
      <c r="N94" s="2">
        <v>1.2E-2</v>
      </c>
      <c r="O94" s="2">
        <v>1.9490099999999999</v>
      </c>
      <c r="P94" s="2">
        <v>2262.6999999999998</v>
      </c>
      <c r="Q94" s="2">
        <v>25512</v>
      </c>
      <c r="R94" s="2">
        <v>0.71750000000000003</v>
      </c>
      <c r="S94" s="2">
        <v>18.304860000000001</v>
      </c>
      <c r="T94" s="2">
        <v>20.253869999999999</v>
      </c>
    </row>
    <row r="95" spans="1:20" x14ac:dyDescent="0.25">
      <c r="A95" s="3">
        <v>92</v>
      </c>
      <c r="B95" s="3">
        <v>2023</v>
      </c>
      <c r="C95" s="3" t="s">
        <v>46</v>
      </c>
      <c r="D95" s="3" t="s">
        <v>1268</v>
      </c>
      <c r="E95" s="3" t="s">
        <v>198</v>
      </c>
      <c r="F95" s="3" t="s">
        <v>1179</v>
      </c>
      <c r="G95" s="3" t="s">
        <v>117</v>
      </c>
      <c r="H95" s="3" t="s">
        <v>1176</v>
      </c>
      <c r="I95" s="3" t="s">
        <v>560</v>
      </c>
      <c r="J95" s="3" t="s">
        <v>1186</v>
      </c>
      <c r="K95" s="3">
        <v>128.28</v>
      </c>
      <c r="L95" s="3">
        <v>684.2</v>
      </c>
      <c r="M95" s="3">
        <v>87769.18</v>
      </c>
      <c r="N95" s="3">
        <v>0.8</v>
      </c>
      <c r="O95" s="3">
        <v>70.215339999999998</v>
      </c>
      <c r="P95" s="3">
        <v>4541.6000000000004</v>
      </c>
      <c r="Q95" s="3">
        <v>15361.5</v>
      </c>
      <c r="R95" s="3">
        <v>0.61860000000000004</v>
      </c>
      <c r="S95" s="3">
        <v>9.5026200000000003</v>
      </c>
      <c r="T95" s="3">
        <v>79.717960000000005</v>
      </c>
    </row>
    <row r="96" spans="1:20" x14ac:dyDescent="0.25">
      <c r="A96" s="2">
        <v>93</v>
      </c>
      <c r="B96" s="2">
        <v>2023</v>
      </c>
      <c r="C96" s="2" t="s">
        <v>22</v>
      </c>
      <c r="D96" s="2" t="s">
        <v>1269</v>
      </c>
      <c r="E96" s="2" t="s">
        <v>99</v>
      </c>
      <c r="F96" s="2" t="s">
        <v>1179</v>
      </c>
      <c r="G96" s="2" t="s">
        <v>110</v>
      </c>
      <c r="H96" s="2" t="s">
        <v>1168</v>
      </c>
      <c r="I96" s="2" t="s">
        <v>570</v>
      </c>
      <c r="J96" s="2" t="s">
        <v>576</v>
      </c>
      <c r="K96" s="2">
        <v>136.13999999999999</v>
      </c>
      <c r="L96" s="2">
        <v>3013.7</v>
      </c>
      <c r="M96" s="2">
        <v>410285.12</v>
      </c>
      <c r="N96" s="2">
        <v>1.2E-2</v>
      </c>
      <c r="O96" s="2">
        <v>4.9234200000000001</v>
      </c>
      <c r="P96" s="2">
        <v>3069.5</v>
      </c>
      <c r="Q96" s="2">
        <v>4061</v>
      </c>
      <c r="R96" s="2">
        <v>0.41830000000000001</v>
      </c>
      <c r="S96" s="2">
        <v>1.69872</v>
      </c>
      <c r="T96" s="2">
        <v>6.6221399999999999</v>
      </c>
    </row>
    <row r="97" spans="1:20" x14ac:dyDescent="0.25">
      <c r="A97" s="3">
        <v>94</v>
      </c>
      <c r="B97" s="3">
        <v>2023</v>
      </c>
      <c r="C97" s="3" t="s">
        <v>32</v>
      </c>
      <c r="D97" s="3" t="s">
        <v>1270</v>
      </c>
      <c r="E97" s="3" t="s">
        <v>128</v>
      </c>
      <c r="F97" s="3" t="s">
        <v>1165</v>
      </c>
      <c r="G97" s="3" t="s">
        <v>33</v>
      </c>
      <c r="H97" s="3" t="s">
        <v>1176</v>
      </c>
      <c r="I97" s="3" t="s">
        <v>553</v>
      </c>
      <c r="J97" s="3" t="s">
        <v>1177</v>
      </c>
      <c r="K97" s="3">
        <v>258.51</v>
      </c>
      <c r="L97" s="3">
        <v>5848.3</v>
      </c>
      <c r="M97" s="3">
        <v>1511844.03</v>
      </c>
      <c r="N97" s="3">
        <v>0.1</v>
      </c>
      <c r="O97" s="3">
        <v>151.18440000000001</v>
      </c>
      <c r="P97" s="3">
        <v>1933.9</v>
      </c>
      <c r="Q97" s="3">
        <v>20525.5</v>
      </c>
      <c r="R97" s="3">
        <v>0.55789999999999995</v>
      </c>
      <c r="S97" s="3">
        <v>11.451180000000001</v>
      </c>
      <c r="T97" s="3">
        <v>162.63558</v>
      </c>
    </row>
    <row r="98" spans="1:20" ht="24" x14ac:dyDescent="0.25">
      <c r="A98" s="2">
        <v>95</v>
      </c>
      <c r="B98" s="2">
        <v>2023</v>
      </c>
      <c r="C98" s="2" t="s">
        <v>39</v>
      </c>
      <c r="D98" s="2" t="s">
        <v>1271</v>
      </c>
      <c r="E98" s="2" t="s">
        <v>35</v>
      </c>
      <c r="F98" s="2" t="s">
        <v>1160</v>
      </c>
      <c r="G98" s="2" t="s">
        <v>110</v>
      </c>
      <c r="H98" s="2" t="s">
        <v>1168</v>
      </c>
      <c r="I98" s="2" t="s">
        <v>1169</v>
      </c>
      <c r="J98" s="2" t="s">
        <v>1163</v>
      </c>
      <c r="K98" s="2">
        <v>296.26</v>
      </c>
      <c r="L98" s="2">
        <v>588.5</v>
      </c>
      <c r="M98" s="2">
        <v>174349.01</v>
      </c>
      <c r="N98" s="2">
        <v>6.2E-2</v>
      </c>
      <c r="O98" s="2">
        <v>10.80964</v>
      </c>
      <c r="P98" s="2">
        <v>4436.5</v>
      </c>
      <c r="Q98" s="2">
        <v>49627.4</v>
      </c>
      <c r="R98" s="2">
        <v>0.41220000000000001</v>
      </c>
      <c r="S98" s="2">
        <v>20.456410000000002</v>
      </c>
      <c r="T98" s="2">
        <v>31.26605</v>
      </c>
    </row>
    <row r="99" spans="1:20" x14ac:dyDescent="0.25">
      <c r="A99" s="3">
        <v>96</v>
      </c>
      <c r="B99" s="3">
        <v>2023</v>
      </c>
      <c r="C99" s="3" t="s">
        <v>46</v>
      </c>
      <c r="D99" s="3" t="s">
        <v>1272</v>
      </c>
      <c r="E99" s="3" t="s">
        <v>112</v>
      </c>
      <c r="F99" s="3" t="s">
        <v>1172</v>
      </c>
      <c r="G99" s="3" t="s">
        <v>154</v>
      </c>
      <c r="H99" s="3" t="s">
        <v>1176</v>
      </c>
      <c r="I99" s="3" t="s">
        <v>570</v>
      </c>
      <c r="J99" s="3" t="s">
        <v>1163</v>
      </c>
      <c r="K99" s="3">
        <v>231.4</v>
      </c>
      <c r="L99" s="3">
        <v>6017.6</v>
      </c>
      <c r="M99" s="3">
        <v>1392472.64</v>
      </c>
      <c r="N99" s="3">
        <v>1.2E-2</v>
      </c>
      <c r="O99" s="3">
        <v>16.709669999999999</v>
      </c>
      <c r="P99" s="3">
        <v>1808</v>
      </c>
      <c r="Q99" s="3">
        <v>35601.9</v>
      </c>
      <c r="R99" s="3">
        <v>0.66749999999999998</v>
      </c>
      <c r="S99" s="3">
        <v>23.76427</v>
      </c>
      <c r="T99" s="3">
        <v>40.473939999999999</v>
      </c>
    </row>
    <row r="100" spans="1:20" ht="24" x14ac:dyDescent="0.25">
      <c r="A100" s="2">
        <v>97</v>
      </c>
      <c r="B100" s="2">
        <v>2023</v>
      </c>
      <c r="C100" s="2" t="s">
        <v>22</v>
      </c>
      <c r="D100" s="2" t="s">
        <v>1273</v>
      </c>
      <c r="E100" s="2" t="s">
        <v>89</v>
      </c>
      <c r="F100" s="2" t="s">
        <v>1179</v>
      </c>
      <c r="G100" s="2" t="s">
        <v>117</v>
      </c>
      <c r="H100" s="2" t="s">
        <v>1161</v>
      </c>
      <c r="I100" s="2" t="s">
        <v>1169</v>
      </c>
      <c r="J100" s="2" t="s">
        <v>1186</v>
      </c>
      <c r="K100" s="2">
        <v>74.11</v>
      </c>
      <c r="L100" s="2">
        <v>3832.2</v>
      </c>
      <c r="M100" s="2">
        <v>284004.34000000003</v>
      </c>
      <c r="N100" s="2">
        <v>6.2E-2</v>
      </c>
      <c r="O100" s="2">
        <v>17.608270000000001</v>
      </c>
      <c r="P100" s="2">
        <v>4615.2</v>
      </c>
      <c r="Q100" s="2">
        <v>18390</v>
      </c>
      <c r="R100" s="2">
        <v>0.70330000000000004</v>
      </c>
      <c r="S100" s="2">
        <v>12.93369</v>
      </c>
      <c r="T100" s="2">
        <v>30.54196</v>
      </c>
    </row>
    <row r="101" spans="1:20" ht="24" x14ac:dyDescent="0.25">
      <c r="A101" s="3">
        <v>98</v>
      </c>
      <c r="B101" s="3">
        <v>2023</v>
      </c>
      <c r="C101" s="3" t="s">
        <v>32</v>
      </c>
      <c r="D101" s="3" t="s">
        <v>1274</v>
      </c>
      <c r="E101" s="3" t="s">
        <v>106</v>
      </c>
      <c r="F101" s="3" t="s">
        <v>1172</v>
      </c>
      <c r="G101" s="3" t="s">
        <v>154</v>
      </c>
      <c r="H101" s="3" t="s">
        <v>1176</v>
      </c>
      <c r="I101" s="3" t="s">
        <v>1169</v>
      </c>
      <c r="J101" s="3" t="s">
        <v>1163</v>
      </c>
      <c r="K101" s="3">
        <v>44.3</v>
      </c>
      <c r="L101" s="3">
        <v>1994.4</v>
      </c>
      <c r="M101" s="3">
        <v>88351.92</v>
      </c>
      <c r="N101" s="3">
        <v>6.2E-2</v>
      </c>
      <c r="O101" s="3">
        <v>5.4778200000000004</v>
      </c>
      <c r="P101" s="3">
        <v>2933.9</v>
      </c>
      <c r="Q101" s="3">
        <v>33298.9</v>
      </c>
      <c r="R101" s="3">
        <v>0.43070000000000003</v>
      </c>
      <c r="S101" s="3">
        <v>14.341839999999999</v>
      </c>
      <c r="T101" s="3">
        <v>19.819659999999999</v>
      </c>
    </row>
    <row r="102" spans="1:20" ht="24" x14ac:dyDescent="0.25">
      <c r="A102" s="2">
        <v>99</v>
      </c>
      <c r="B102" s="2">
        <v>2023</v>
      </c>
      <c r="C102" s="2" t="s">
        <v>39</v>
      </c>
      <c r="D102" s="2" t="s">
        <v>1275</v>
      </c>
      <c r="E102" s="2" t="s">
        <v>26</v>
      </c>
      <c r="F102" s="2" t="s">
        <v>1182</v>
      </c>
      <c r="G102" s="2" t="s">
        <v>117</v>
      </c>
      <c r="H102" s="2" t="s">
        <v>1174</v>
      </c>
      <c r="I102" s="2" t="s">
        <v>1169</v>
      </c>
      <c r="J102" s="2" t="s">
        <v>1170</v>
      </c>
      <c r="K102" s="2">
        <v>175.89</v>
      </c>
      <c r="L102" s="2">
        <v>7209.9</v>
      </c>
      <c r="M102" s="2">
        <v>1268149.31</v>
      </c>
      <c r="N102" s="2">
        <v>6.2E-2</v>
      </c>
      <c r="O102" s="2">
        <v>78.625259999999997</v>
      </c>
      <c r="P102" s="2">
        <v>2640.8</v>
      </c>
      <c r="Q102" s="2">
        <v>9846.7999999999993</v>
      </c>
      <c r="R102" s="2">
        <v>0.5615</v>
      </c>
      <c r="S102" s="2">
        <v>5.5289799999999998</v>
      </c>
      <c r="T102" s="2">
        <v>84.154240000000001</v>
      </c>
    </row>
    <row r="103" spans="1:20" x14ac:dyDescent="0.25">
      <c r="A103" s="3">
        <v>100</v>
      </c>
      <c r="B103" s="3">
        <v>2023</v>
      </c>
      <c r="C103" s="3" t="s">
        <v>46</v>
      </c>
      <c r="D103" s="3" t="s">
        <v>1276</v>
      </c>
      <c r="E103" s="3" t="s">
        <v>140</v>
      </c>
      <c r="F103" s="3" t="s">
        <v>1172</v>
      </c>
      <c r="G103" s="3" t="s">
        <v>24</v>
      </c>
      <c r="H103" s="3" t="s">
        <v>1161</v>
      </c>
      <c r="I103" s="3" t="s">
        <v>1162</v>
      </c>
      <c r="J103" s="3" t="s">
        <v>1192</v>
      </c>
      <c r="K103" s="3">
        <v>197.58</v>
      </c>
      <c r="L103" s="3">
        <v>3074.7</v>
      </c>
      <c r="M103" s="3">
        <v>607499.23</v>
      </c>
      <c r="N103" s="3">
        <v>0.25</v>
      </c>
      <c r="O103" s="3">
        <v>151.87481</v>
      </c>
      <c r="P103" s="3">
        <v>1609.1</v>
      </c>
      <c r="Q103" s="3">
        <v>20874.599999999999</v>
      </c>
      <c r="R103" s="3">
        <v>0.78820000000000001</v>
      </c>
      <c r="S103" s="3">
        <v>16.45336</v>
      </c>
      <c r="T103" s="3">
        <v>168.32817</v>
      </c>
    </row>
  </sheetData>
  <autoFilter ref="A3:T3" xr:uid="{00000000-0009-0000-0000-000008000000}"/>
  <mergeCells count="2">
    <mergeCell ref="A1:P1"/>
    <mergeCell ref="A2:P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D966"/>
  </sheetPr>
  <dimension ref="A1:P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16" width="18" customWidth="1"/>
  </cols>
  <sheetData>
    <row r="1" spans="1:16" ht="28.15" customHeight="1" x14ac:dyDescent="0.25">
      <c r="A1" s="27" t="s">
        <v>1277</v>
      </c>
      <c r="B1" s="28"/>
      <c r="C1" s="28"/>
      <c r="D1" s="28"/>
      <c r="E1" s="28"/>
      <c r="F1" s="28"/>
      <c r="G1" s="28"/>
      <c r="H1" s="28"/>
      <c r="I1" s="28"/>
      <c r="J1" s="28"/>
      <c r="K1" s="28"/>
      <c r="L1" s="28"/>
      <c r="M1" s="28"/>
      <c r="N1" s="28"/>
      <c r="O1" s="28"/>
      <c r="P1" s="28"/>
    </row>
    <row r="2" spans="1:16" ht="18" customHeight="1" x14ac:dyDescent="0.25">
      <c r="A2" s="29" t="s">
        <v>1</v>
      </c>
      <c r="B2" s="28"/>
      <c r="C2" s="28"/>
      <c r="D2" s="28"/>
      <c r="E2" s="28"/>
      <c r="F2" s="28"/>
      <c r="G2" s="28"/>
      <c r="H2" s="28"/>
      <c r="I2" s="28"/>
      <c r="J2" s="28"/>
      <c r="K2" s="28"/>
      <c r="L2" s="28"/>
      <c r="M2" s="28"/>
      <c r="N2" s="28"/>
      <c r="O2" s="28"/>
      <c r="P2" s="28"/>
    </row>
    <row r="3" spans="1:16" ht="38.25" x14ac:dyDescent="0.25">
      <c r="A3" s="1" t="s">
        <v>2</v>
      </c>
      <c r="B3" s="1" t="s">
        <v>3</v>
      </c>
      <c r="C3" s="1" t="s">
        <v>4</v>
      </c>
      <c r="D3" s="1" t="s">
        <v>1278</v>
      </c>
      <c r="E3" s="1" t="s">
        <v>490</v>
      </c>
      <c r="F3" s="1" t="s">
        <v>1279</v>
      </c>
      <c r="G3" s="1" t="s">
        <v>1280</v>
      </c>
      <c r="H3" s="1" t="s">
        <v>1281</v>
      </c>
      <c r="I3" s="1" t="s">
        <v>1282</v>
      </c>
      <c r="J3" s="1" t="s">
        <v>1283</v>
      </c>
      <c r="K3" s="1" t="s">
        <v>1284</v>
      </c>
      <c r="L3" s="1" t="s">
        <v>1285</v>
      </c>
      <c r="M3" s="1" t="s">
        <v>1286</v>
      </c>
      <c r="N3" s="1" t="s">
        <v>1287</v>
      </c>
      <c r="O3" s="1" t="s">
        <v>1288</v>
      </c>
      <c r="P3" s="1" t="s">
        <v>299</v>
      </c>
    </row>
    <row r="4" spans="1:16" ht="24" x14ac:dyDescent="0.25">
      <c r="A4" s="2">
        <v>1</v>
      </c>
      <c r="B4" s="2">
        <v>2023</v>
      </c>
      <c r="C4" s="2" t="s">
        <v>22</v>
      </c>
      <c r="D4" s="2" t="s">
        <v>47</v>
      </c>
      <c r="E4" s="2" t="s">
        <v>96</v>
      </c>
      <c r="F4" s="2" t="s">
        <v>1289</v>
      </c>
      <c r="G4" s="2" t="s">
        <v>1290</v>
      </c>
      <c r="H4" s="2">
        <v>814.41</v>
      </c>
      <c r="I4" s="2" t="s">
        <v>1291</v>
      </c>
      <c r="J4" s="2">
        <v>4.4009999999999998</v>
      </c>
      <c r="K4" s="2">
        <v>0.45479999999999998</v>
      </c>
      <c r="L4" s="2">
        <v>0.55600000000000005</v>
      </c>
      <c r="M4" s="2">
        <v>0.45279999999999998</v>
      </c>
      <c r="N4" s="2" t="s">
        <v>38</v>
      </c>
      <c r="O4" s="2" t="s">
        <v>1292</v>
      </c>
      <c r="P4" s="2" t="s">
        <v>1293</v>
      </c>
    </row>
    <row r="5" spans="1:16" ht="24" x14ac:dyDescent="0.25">
      <c r="A5" s="3">
        <v>2</v>
      </c>
      <c r="B5" s="3">
        <v>2023</v>
      </c>
      <c r="C5" s="3" t="s">
        <v>32</v>
      </c>
      <c r="D5" s="3" t="s">
        <v>159</v>
      </c>
      <c r="E5" s="3" t="s">
        <v>96</v>
      </c>
      <c r="F5" s="3" t="s">
        <v>1294</v>
      </c>
      <c r="G5" s="3" t="s">
        <v>1295</v>
      </c>
      <c r="H5" s="3">
        <v>70.77</v>
      </c>
      <c r="I5" s="3" t="s">
        <v>1291</v>
      </c>
      <c r="J5" s="3">
        <v>10.597</v>
      </c>
      <c r="K5" s="3">
        <v>0.61250000000000004</v>
      </c>
      <c r="L5" s="3">
        <v>1.8029999999999999</v>
      </c>
      <c r="M5" s="3">
        <v>0.12759999999999999</v>
      </c>
      <c r="N5" s="3" t="s">
        <v>38</v>
      </c>
      <c r="O5" s="3" t="s">
        <v>1296</v>
      </c>
      <c r="P5" s="3" t="s">
        <v>1297</v>
      </c>
    </row>
    <row r="6" spans="1:16" ht="24" x14ac:dyDescent="0.25">
      <c r="A6" s="2">
        <v>3</v>
      </c>
      <c r="B6" s="2">
        <v>2023</v>
      </c>
      <c r="C6" s="2" t="s">
        <v>39</v>
      </c>
      <c r="D6" s="2" t="s">
        <v>84</v>
      </c>
      <c r="E6" s="2" t="s">
        <v>204</v>
      </c>
      <c r="F6" s="2" t="s">
        <v>1298</v>
      </c>
      <c r="G6" s="2" t="s">
        <v>1299</v>
      </c>
      <c r="H6" s="2">
        <v>135.19999999999999</v>
      </c>
      <c r="I6" s="2" t="s">
        <v>1291</v>
      </c>
      <c r="J6" s="2">
        <v>7.5540000000000003</v>
      </c>
      <c r="K6" s="2">
        <v>0.60129999999999995</v>
      </c>
      <c r="L6" s="2">
        <v>1.2617</v>
      </c>
      <c r="M6" s="2">
        <v>0.1706</v>
      </c>
      <c r="N6" s="2" t="s">
        <v>30</v>
      </c>
      <c r="O6" s="2" t="s">
        <v>1292</v>
      </c>
      <c r="P6" s="2" t="s">
        <v>1297</v>
      </c>
    </row>
    <row r="7" spans="1:16" ht="24" x14ac:dyDescent="0.25">
      <c r="A7" s="3">
        <v>4</v>
      </c>
      <c r="B7" s="3">
        <v>2023</v>
      </c>
      <c r="C7" s="3" t="s">
        <v>46</v>
      </c>
      <c r="D7" s="3" t="s">
        <v>105</v>
      </c>
      <c r="E7" s="3" t="s">
        <v>204</v>
      </c>
      <c r="F7" s="3" t="s">
        <v>1298</v>
      </c>
      <c r="G7" s="3" t="s">
        <v>1300</v>
      </c>
      <c r="H7" s="3">
        <v>183.55</v>
      </c>
      <c r="I7" s="3" t="s">
        <v>1291</v>
      </c>
      <c r="J7" s="3">
        <v>11.507999999999999</v>
      </c>
      <c r="K7" s="3">
        <v>0.47970000000000002</v>
      </c>
      <c r="L7" s="3">
        <v>1.5335000000000001</v>
      </c>
      <c r="M7" s="3">
        <v>0.28149999999999997</v>
      </c>
      <c r="N7" s="3" t="s">
        <v>30</v>
      </c>
      <c r="O7" s="3" t="s">
        <v>1301</v>
      </c>
      <c r="P7" s="3" t="s">
        <v>1293</v>
      </c>
    </row>
    <row r="8" spans="1:16" ht="24" x14ac:dyDescent="0.25">
      <c r="A8" s="2">
        <v>5</v>
      </c>
      <c r="B8" s="2">
        <v>2023</v>
      </c>
      <c r="C8" s="2" t="s">
        <v>22</v>
      </c>
      <c r="D8" s="2" t="s">
        <v>166</v>
      </c>
      <c r="E8" s="2" t="s">
        <v>65</v>
      </c>
      <c r="F8" s="2" t="s">
        <v>1302</v>
      </c>
      <c r="G8" s="2" t="s">
        <v>1303</v>
      </c>
      <c r="H8" s="2">
        <v>378.35</v>
      </c>
      <c r="I8" s="2" t="s">
        <v>1304</v>
      </c>
      <c r="J8" s="2">
        <v>4.5129999999999999</v>
      </c>
      <c r="K8" s="2">
        <v>0.52110000000000001</v>
      </c>
      <c r="L8" s="2">
        <v>0.65329999999999999</v>
      </c>
      <c r="M8" s="2">
        <v>0.2472</v>
      </c>
      <c r="N8" s="2" t="s">
        <v>30</v>
      </c>
      <c r="O8" s="2" t="s">
        <v>1292</v>
      </c>
      <c r="P8" s="2" t="s">
        <v>52</v>
      </c>
    </row>
    <row r="9" spans="1:16" ht="24" x14ac:dyDescent="0.25">
      <c r="A9" s="3">
        <v>6</v>
      </c>
      <c r="B9" s="3">
        <v>2023</v>
      </c>
      <c r="C9" s="3" t="s">
        <v>32</v>
      </c>
      <c r="D9" s="3" t="s">
        <v>64</v>
      </c>
      <c r="E9" s="3" t="s">
        <v>24</v>
      </c>
      <c r="F9" s="3" t="s">
        <v>1305</v>
      </c>
      <c r="G9" s="3" t="s">
        <v>1306</v>
      </c>
      <c r="H9" s="3">
        <v>752.05</v>
      </c>
      <c r="I9" s="3" t="s">
        <v>1307</v>
      </c>
      <c r="J9" s="3">
        <v>0.60499999999999998</v>
      </c>
      <c r="K9" s="3">
        <v>0.64119999999999999</v>
      </c>
      <c r="L9" s="3">
        <v>0.10780000000000001</v>
      </c>
      <c r="M9" s="3">
        <v>8.1100000000000005E-2</v>
      </c>
      <c r="N9" s="3" t="s">
        <v>38</v>
      </c>
      <c r="O9" s="3" t="s">
        <v>1308</v>
      </c>
      <c r="P9" s="3" t="s">
        <v>52</v>
      </c>
    </row>
    <row r="10" spans="1:16" ht="24" x14ac:dyDescent="0.25">
      <c r="A10" s="2">
        <v>7</v>
      </c>
      <c r="B10" s="2">
        <v>2023</v>
      </c>
      <c r="C10" s="2" t="s">
        <v>39</v>
      </c>
      <c r="D10" s="2" t="s">
        <v>105</v>
      </c>
      <c r="E10" s="2" t="s">
        <v>88</v>
      </c>
      <c r="F10" s="2" t="s">
        <v>1309</v>
      </c>
      <c r="G10" s="2" t="s">
        <v>1310</v>
      </c>
      <c r="H10" s="2">
        <v>932.2</v>
      </c>
      <c r="I10" s="2" t="s">
        <v>1311</v>
      </c>
      <c r="J10" s="2">
        <v>7.3620000000000001</v>
      </c>
      <c r="K10" s="2">
        <v>0.51849999999999996</v>
      </c>
      <c r="L10" s="2">
        <v>1.0603</v>
      </c>
      <c r="M10" s="2">
        <v>0.98839999999999995</v>
      </c>
      <c r="N10" s="2" t="s">
        <v>30</v>
      </c>
      <c r="O10" s="2" t="s">
        <v>1312</v>
      </c>
      <c r="P10" s="2" t="s">
        <v>1297</v>
      </c>
    </row>
    <row r="11" spans="1:16" ht="24" x14ac:dyDescent="0.25">
      <c r="A11" s="3">
        <v>8</v>
      </c>
      <c r="B11" s="3">
        <v>2023</v>
      </c>
      <c r="C11" s="3" t="s">
        <v>46</v>
      </c>
      <c r="D11" s="3" t="s">
        <v>40</v>
      </c>
      <c r="E11" s="3" t="s">
        <v>92</v>
      </c>
      <c r="F11" s="3" t="s">
        <v>1313</v>
      </c>
      <c r="G11" s="3" t="s">
        <v>1290</v>
      </c>
      <c r="H11" s="3">
        <v>399.07</v>
      </c>
      <c r="I11" s="3" t="s">
        <v>1314</v>
      </c>
      <c r="J11" s="3">
        <v>9.3569999999999993</v>
      </c>
      <c r="K11" s="3">
        <v>0.8377</v>
      </c>
      <c r="L11" s="3">
        <v>2.1772999999999998</v>
      </c>
      <c r="M11" s="3">
        <v>0.86890000000000001</v>
      </c>
      <c r="N11" s="3" t="s">
        <v>38</v>
      </c>
      <c r="O11" s="3" t="s">
        <v>1315</v>
      </c>
      <c r="P11" s="3" t="s">
        <v>1297</v>
      </c>
    </row>
    <row r="12" spans="1:16" ht="24" x14ac:dyDescent="0.25">
      <c r="A12" s="2">
        <v>9</v>
      </c>
      <c r="B12" s="2">
        <v>2023</v>
      </c>
      <c r="C12" s="2" t="s">
        <v>22</v>
      </c>
      <c r="D12" s="2" t="s">
        <v>84</v>
      </c>
      <c r="E12" s="2" t="s">
        <v>54</v>
      </c>
      <c r="F12" s="2" t="s">
        <v>1316</v>
      </c>
      <c r="G12" s="2" t="s">
        <v>1317</v>
      </c>
      <c r="H12" s="2">
        <v>835.59</v>
      </c>
      <c r="I12" s="2" t="s">
        <v>1318</v>
      </c>
      <c r="J12" s="2">
        <v>13.913</v>
      </c>
      <c r="K12" s="2">
        <v>0.36280000000000001</v>
      </c>
      <c r="L12" s="2">
        <v>1.4020999999999999</v>
      </c>
      <c r="M12" s="2">
        <v>1.1716</v>
      </c>
      <c r="N12" s="2" t="s">
        <v>38</v>
      </c>
      <c r="O12" s="2" t="s">
        <v>1319</v>
      </c>
      <c r="P12" s="2" t="s">
        <v>1297</v>
      </c>
    </row>
    <row r="13" spans="1:16" ht="24" x14ac:dyDescent="0.25">
      <c r="A13" s="3">
        <v>10</v>
      </c>
      <c r="B13" s="3">
        <v>2023</v>
      </c>
      <c r="C13" s="3" t="s">
        <v>32</v>
      </c>
      <c r="D13" s="3" t="s">
        <v>95</v>
      </c>
      <c r="E13" s="3" t="s">
        <v>120</v>
      </c>
      <c r="F13" s="3" t="s">
        <v>1309</v>
      </c>
      <c r="G13" s="3" t="s">
        <v>1290</v>
      </c>
      <c r="H13" s="3">
        <v>686.5</v>
      </c>
      <c r="I13" s="3" t="s">
        <v>1311</v>
      </c>
      <c r="J13" s="3">
        <v>13.113</v>
      </c>
      <c r="K13" s="3">
        <v>0.60750000000000004</v>
      </c>
      <c r="L13" s="3">
        <v>2.2128000000000001</v>
      </c>
      <c r="M13" s="3">
        <v>1.5190999999999999</v>
      </c>
      <c r="N13" s="3" t="s">
        <v>30</v>
      </c>
      <c r="O13" s="3" t="s">
        <v>1312</v>
      </c>
      <c r="P13" s="3" t="s">
        <v>1297</v>
      </c>
    </row>
    <row r="14" spans="1:16" ht="24" x14ac:dyDescent="0.25">
      <c r="A14" s="2">
        <v>11</v>
      </c>
      <c r="B14" s="2">
        <v>2023</v>
      </c>
      <c r="C14" s="2" t="s">
        <v>39</v>
      </c>
      <c r="D14" s="2" t="s">
        <v>87</v>
      </c>
      <c r="E14" s="2" t="s">
        <v>92</v>
      </c>
      <c r="F14" s="2" t="s">
        <v>1313</v>
      </c>
      <c r="G14" s="2" t="s">
        <v>1310</v>
      </c>
      <c r="H14" s="2">
        <v>444.86</v>
      </c>
      <c r="I14" s="2" t="s">
        <v>1320</v>
      </c>
      <c r="J14" s="2">
        <v>9.298</v>
      </c>
      <c r="K14" s="2">
        <v>0.55010000000000003</v>
      </c>
      <c r="L14" s="2">
        <v>1.4208000000000001</v>
      </c>
      <c r="M14" s="2">
        <v>0.6321</v>
      </c>
      <c r="N14" s="2" t="s">
        <v>38</v>
      </c>
      <c r="O14" s="2" t="s">
        <v>1321</v>
      </c>
      <c r="P14" s="2" t="s">
        <v>1297</v>
      </c>
    </row>
    <row r="15" spans="1:16" ht="24" x14ac:dyDescent="0.25">
      <c r="A15" s="3">
        <v>12</v>
      </c>
      <c r="B15" s="3">
        <v>2023</v>
      </c>
      <c r="C15" s="3" t="s">
        <v>46</v>
      </c>
      <c r="D15" s="3" t="s">
        <v>252</v>
      </c>
      <c r="E15" s="3" t="s">
        <v>70</v>
      </c>
      <c r="F15" s="3" t="s">
        <v>1298</v>
      </c>
      <c r="G15" s="3" t="s">
        <v>1306</v>
      </c>
      <c r="H15" s="3">
        <v>385.47</v>
      </c>
      <c r="I15" s="3" t="s">
        <v>1307</v>
      </c>
      <c r="J15" s="3">
        <v>9.3040000000000003</v>
      </c>
      <c r="K15" s="3">
        <v>0.70599999999999996</v>
      </c>
      <c r="L15" s="3">
        <v>1.8246</v>
      </c>
      <c r="M15" s="3">
        <v>0.70330000000000004</v>
      </c>
      <c r="N15" s="3" t="s">
        <v>30</v>
      </c>
      <c r="O15" s="3" t="s">
        <v>1319</v>
      </c>
      <c r="P15" s="3" t="s">
        <v>1293</v>
      </c>
    </row>
    <row r="16" spans="1:16" ht="24" x14ac:dyDescent="0.25">
      <c r="A16" s="2">
        <v>13</v>
      </c>
      <c r="B16" s="2">
        <v>2023</v>
      </c>
      <c r="C16" s="2" t="s">
        <v>22</v>
      </c>
      <c r="D16" s="2" t="s">
        <v>109</v>
      </c>
      <c r="E16" s="2" t="s">
        <v>110</v>
      </c>
      <c r="F16" s="2" t="s">
        <v>1302</v>
      </c>
      <c r="G16" s="2" t="s">
        <v>1300</v>
      </c>
      <c r="H16" s="2">
        <v>302.05</v>
      </c>
      <c r="I16" s="2" t="s">
        <v>1314</v>
      </c>
      <c r="J16" s="2">
        <v>10.259</v>
      </c>
      <c r="K16" s="2">
        <v>0.62439999999999996</v>
      </c>
      <c r="L16" s="2">
        <v>1.7794000000000001</v>
      </c>
      <c r="M16" s="2">
        <v>0.53749999999999998</v>
      </c>
      <c r="N16" s="2" t="s">
        <v>38</v>
      </c>
      <c r="O16" s="2" t="s">
        <v>1308</v>
      </c>
      <c r="P16" s="2" t="s">
        <v>1293</v>
      </c>
    </row>
    <row r="17" spans="1:16" ht="24" x14ac:dyDescent="0.25">
      <c r="A17" s="3">
        <v>14</v>
      </c>
      <c r="B17" s="3">
        <v>2023</v>
      </c>
      <c r="C17" s="3" t="s">
        <v>32</v>
      </c>
      <c r="D17" s="3" t="s">
        <v>57</v>
      </c>
      <c r="E17" s="3" t="s">
        <v>24</v>
      </c>
      <c r="F17" s="3" t="s">
        <v>1294</v>
      </c>
      <c r="G17" s="3" t="s">
        <v>1290</v>
      </c>
      <c r="H17" s="3">
        <v>244.11</v>
      </c>
      <c r="I17" s="3" t="s">
        <v>1291</v>
      </c>
      <c r="J17" s="3">
        <v>2.9710000000000001</v>
      </c>
      <c r="K17" s="3">
        <v>0.82210000000000005</v>
      </c>
      <c r="L17" s="3">
        <v>0.67849999999999999</v>
      </c>
      <c r="M17" s="3">
        <v>0.1656</v>
      </c>
      <c r="N17" s="3" t="s">
        <v>38</v>
      </c>
      <c r="O17" s="3" t="s">
        <v>1315</v>
      </c>
      <c r="P17" s="3" t="s">
        <v>52</v>
      </c>
    </row>
    <row r="18" spans="1:16" ht="24" x14ac:dyDescent="0.25">
      <c r="A18" s="2">
        <v>15</v>
      </c>
      <c r="B18" s="2">
        <v>2023</v>
      </c>
      <c r="C18" s="2" t="s">
        <v>39</v>
      </c>
      <c r="D18" s="2" t="s">
        <v>84</v>
      </c>
      <c r="E18" s="2" t="s">
        <v>154</v>
      </c>
      <c r="F18" s="2" t="s">
        <v>1322</v>
      </c>
      <c r="G18" s="2" t="s">
        <v>1306</v>
      </c>
      <c r="H18" s="2">
        <v>221.16</v>
      </c>
      <c r="I18" s="2" t="s">
        <v>1314</v>
      </c>
      <c r="J18" s="2">
        <v>4.2359999999999998</v>
      </c>
      <c r="K18" s="2">
        <v>0.58819999999999995</v>
      </c>
      <c r="L18" s="2">
        <v>0.69210000000000005</v>
      </c>
      <c r="M18" s="2">
        <v>0.15310000000000001</v>
      </c>
      <c r="N18" s="2" t="s">
        <v>30</v>
      </c>
      <c r="O18" s="2" t="s">
        <v>1312</v>
      </c>
      <c r="P18" s="2" t="s">
        <v>1293</v>
      </c>
    </row>
    <row r="19" spans="1:16" ht="24" x14ac:dyDescent="0.25">
      <c r="A19" s="3">
        <v>16</v>
      </c>
      <c r="B19" s="3">
        <v>2023</v>
      </c>
      <c r="C19" s="3" t="s">
        <v>46</v>
      </c>
      <c r="D19" s="3" t="s">
        <v>40</v>
      </c>
      <c r="E19" s="3" t="s">
        <v>33</v>
      </c>
      <c r="F19" s="3" t="s">
        <v>1294</v>
      </c>
      <c r="G19" s="3" t="s">
        <v>1306</v>
      </c>
      <c r="H19" s="3">
        <v>931.85</v>
      </c>
      <c r="I19" s="3" t="s">
        <v>1320</v>
      </c>
      <c r="J19" s="3">
        <v>11.612</v>
      </c>
      <c r="K19" s="3">
        <v>0.65029999999999999</v>
      </c>
      <c r="L19" s="3">
        <v>2.0975999999999999</v>
      </c>
      <c r="M19" s="3">
        <v>1.9545999999999999</v>
      </c>
      <c r="N19" s="3" t="s">
        <v>30</v>
      </c>
      <c r="O19" s="3" t="s">
        <v>41</v>
      </c>
      <c r="P19" s="3" t="s">
        <v>52</v>
      </c>
    </row>
    <row r="20" spans="1:16" ht="24" x14ac:dyDescent="0.25">
      <c r="A20" s="2">
        <v>17</v>
      </c>
      <c r="B20" s="2">
        <v>2023</v>
      </c>
      <c r="C20" s="2" t="s">
        <v>22</v>
      </c>
      <c r="D20" s="2" t="s">
        <v>166</v>
      </c>
      <c r="E20" s="2" t="s">
        <v>70</v>
      </c>
      <c r="F20" s="2" t="s">
        <v>1305</v>
      </c>
      <c r="G20" s="2" t="s">
        <v>1300</v>
      </c>
      <c r="H20" s="2">
        <v>116.57</v>
      </c>
      <c r="I20" s="2" t="s">
        <v>1323</v>
      </c>
      <c r="J20" s="2">
        <v>1.7709999999999999</v>
      </c>
      <c r="K20" s="2">
        <v>0.39460000000000001</v>
      </c>
      <c r="L20" s="2">
        <v>0.19409999999999999</v>
      </c>
      <c r="M20" s="2">
        <v>2.2599999999999999E-2</v>
      </c>
      <c r="N20" s="2" t="s">
        <v>38</v>
      </c>
      <c r="O20" s="2" t="s">
        <v>1296</v>
      </c>
      <c r="P20" s="2" t="s">
        <v>52</v>
      </c>
    </row>
    <row r="21" spans="1:16" ht="24" x14ac:dyDescent="0.25">
      <c r="A21" s="3">
        <v>18</v>
      </c>
      <c r="B21" s="3">
        <v>2023</v>
      </c>
      <c r="C21" s="3" t="s">
        <v>32</v>
      </c>
      <c r="D21" s="3" t="s">
        <v>64</v>
      </c>
      <c r="E21" s="3" t="s">
        <v>58</v>
      </c>
      <c r="F21" s="3" t="s">
        <v>1316</v>
      </c>
      <c r="G21" s="3" t="s">
        <v>1299</v>
      </c>
      <c r="H21" s="3">
        <v>954.11</v>
      </c>
      <c r="I21" s="3" t="s">
        <v>1320</v>
      </c>
      <c r="J21" s="3">
        <v>8.8650000000000002</v>
      </c>
      <c r="K21" s="3">
        <v>0.3508</v>
      </c>
      <c r="L21" s="3">
        <v>0.8639</v>
      </c>
      <c r="M21" s="3">
        <v>0.82430000000000003</v>
      </c>
      <c r="N21" s="3" t="s">
        <v>38</v>
      </c>
      <c r="O21" s="3" t="s">
        <v>1312</v>
      </c>
      <c r="P21" s="3" t="s">
        <v>52</v>
      </c>
    </row>
    <row r="22" spans="1:16" ht="24" x14ac:dyDescent="0.25">
      <c r="A22" s="2">
        <v>19</v>
      </c>
      <c r="B22" s="2">
        <v>2023</v>
      </c>
      <c r="C22" s="2" t="s">
        <v>39</v>
      </c>
      <c r="D22" s="2" t="s">
        <v>87</v>
      </c>
      <c r="E22" s="2" t="s">
        <v>58</v>
      </c>
      <c r="F22" s="2" t="s">
        <v>1305</v>
      </c>
      <c r="G22" s="2" t="s">
        <v>1300</v>
      </c>
      <c r="H22" s="2">
        <v>797.72</v>
      </c>
      <c r="I22" s="2" t="s">
        <v>1320</v>
      </c>
      <c r="J22" s="2">
        <v>14.042</v>
      </c>
      <c r="K22" s="2">
        <v>0.41320000000000001</v>
      </c>
      <c r="L22" s="2">
        <v>1.6116999999999999</v>
      </c>
      <c r="M22" s="2">
        <v>1.2857000000000001</v>
      </c>
      <c r="N22" s="2" t="s">
        <v>30</v>
      </c>
      <c r="O22" s="2" t="s">
        <v>1308</v>
      </c>
      <c r="P22" s="2" t="s">
        <v>52</v>
      </c>
    </row>
    <row r="23" spans="1:16" ht="24" x14ac:dyDescent="0.25">
      <c r="A23" s="3">
        <v>20</v>
      </c>
      <c r="B23" s="3">
        <v>2023</v>
      </c>
      <c r="C23" s="3" t="s">
        <v>46</v>
      </c>
      <c r="D23" s="3" t="s">
        <v>53</v>
      </c>
      <c r="E23" s="3" t="s">
        <v>204</v>
      </c>
      <c r="F23" s="3" t="s">
        <v>1302</v>
      </c>
      <c r="G23" s="3" t="s">
        <v>1295</v>
      </c>
      <c r="H23" s="3">
        <v>316.61</v>
      </c>
      <c r="I23" s="3" t="s">
        <v>1323</v>
      </c>
      <c r="J23" s="3">
        <v>12.334</v>
      </c>
      <c r="K23" s="3">
        <v>0.49840000000000001</v>
      </c>
      <c r="L23" s="3">
        <v>1.7076</v>
      </c>
      <c r="M23" s="3">
        <v>0.54059999999999997</v>
      </c>
      <c r="N23" s="3" t="s">
        <v>38</v>
      </c>
      <c r="O23" s="3" t="s">
        <v>1296</v>
      </c>
      <c r="P23" s="3" t="s">
        <v>1297</v>
      </c>
    </row>
    <row r="24" spans="1:16" ht="24" x14ac:dyDescent="0.25">
      <c r="A24" s="2">
        <v>21</v>
      </c>
      <c r="B24" s="2">
        <v>2023</v>
      </c>
      <c r="C24" s="2" t="s">
        <v>22</v>
      </c>
      <c r="D24" s="2" t="s">
        <v>87</v>
      </c>
      <c r="E24" s="2" t="s">
        <v>88</v>
      </c>
      <c r="F24" s="2" t="s">
        <v>1289</v>
      </c>
      <c r="G24" s="2" t="s">
        <v>1306</v>
      </c>
      <c r="H24" s="2">
        <v>665.69</v>
      </c>
      <c r="I24" s="2" t="s">
        <v>1304</v>
      </c>
      <c r="J24" s="2">
        <v>12.119</v>
      </c>
      <c r="K24" s="2">
        <v>0.70150000000000001</v>
      </c>
      <c r="L24" s="2">
        <v>2.3614999999999999</v>
      </c>
      <c r="M24" s="2">
        <v>1.5720000000000001</v>
      </c>
      <c r="N24" s="2" t="s">
        <v>38</v>
      </c>
      <c r="O24" s="2" t="s">
        <v>1319</v>
      </c>
      <c r="P24" s="2" t="s">
        <v>1297</v>
      </c>
    </row>
    <row r="25" spans="1:16" ht="24" x14ac:dyDescent="0.25">
      <c r="A25" s="3">
        <v>22</v>
      </c>
      <c r="B25" s="3">
        <v>2023</v>
      </c>
      <c r="C25" s="3" t="s">
        <v>32</v>
      </c>
      <c r="D25" s="3" t="s">
        <v>47</v>
      </c>
      <c r="E25" s="3" t="s">
        <v>120</v>
      </c>
      <c r="F25" s="3" t="s">
        <v>1309</v>
      </c>
      <c r="G25" s="3" t="s">
        <v>1295</v>
      </c>
      <c r="H25" s="3">
        <v>828.86</v>
      </c>
      <c r="I25" s="3" t="s">
        <v>1318</v>
      </c>
      <c r="J25" s="3">
        <v>7.6779999999999999</v>
      </c>
      <c r="K25" s="3">
        <v>0.70209999999999995</v>
      </c>
      <c r="L25" s="3">
        <v>1.4974000000000001</v>
      </c>
      <c r="M25" s="3">
        <v>1.2411000000000001</v>
      </c>
      <c r="N25" s="3" t="s">
        <v>38</v>
      </c>
      <c r="O25" s="3" t="s">
        <v>41</v>
      </c>
      <c r="P25" s="3" t="s">
        <v>1297</v>
      </c>
    </row>
    <row r="26" spans="1:16" ht="24" x14ac:dyDescent="0.25">
      <c r="A26" s="2">
        <v>23</v>
      </c>
      <c r="B26" s="2">
        <v>2023</v>
      </c>
      <c r="C26" s="2" t="s">
        <v>39</v>
      </c>
      <c r="D26" s="2" t="s">
        <v>102</v>
      </c>
      <c r="E26" s="2" t="s">
        <v>96</v>
      </c>
      <c r="F26" s="2" t="s">
        <v>1294</v>
      </c>
      <c r="G26" s="2" t="s">
        <v>1317</v>
      </c>
      <c r="H26" s="2">
        <v>735.99</v>
      </c>
      <c r="I26" s="2" t="s">
        <v>1291</v>
      </c>
      <c r="J26" s="2">
        <v>13.885999999999999</v>
      </c>
      <c r="K26" s="2">
        <v>0.73799999999999999</v>
      </c>
      <c r="L26" s="2">
        <v>2.8466999999999998</v>
      </c>
      <c r="M26" s="2">
        <v>2.0951</v>
      </c>
      <c r="N26" s="2" t="s">
        <v>30</v>
      </c>
      <c r="O26" s="2" t="s">
        <v>1308</v>
      </c>
      <c r="P26" s="2" t="s">
        <v>52</v>
      </c>
    </row>
    <row r="27" spans="1:16" ht="24" x14ac:dyDescent="0.25">
      <c r="A27" s="3">
        <v>24</v>
      </c>
      <c r="B27" s="3">
        <v>2023</v>
      </c>
      <c r="C27" s="3" t="s">
        <v>46</v>
      </c>
      <c r="D27" s="3" t="s">
        <v>47</v>
      </c>
      <c r="E27" s="3" t="s">
        <v>33</v>
      </c>
      <c r="F27" s="3" t="s">
        <v>1313</v>
      </c>
      <c r="G27" s="3" t="s">
        <v>1306</v>
      </c>
      <c r="H27" s="3">
        <v>338.07</v>
      </c>
      <c r="I27" s="3" t="s">
        <v>1324</v>
      </c>
      <c r="J27" s="3">
        <v>10.33</v>
      </c>
      <c r="K27" s="3">
        <v>0.84519999999999995</v>
      </c>
      <c r="L27" s="3">
        <v>2.4253</v>
      </c>
      <c r="M27" s="3">
        <v>0.81989999999999996</v>
      </c>
      <c r="N27" s="3" t="s">
        <v>38</v>
      </c>
      <c r="O27" s="3" t="s">
        <v>41</v>
      </c>
      <c r="P27" s="3" t="s">
        <v>1297</v>
      </c>
    </row>
    <row r="28" spans="1:16" ht="24" x14ac:dyDescent="0.25">
      <c r="A28" s="2">
        <v>25</v>
      </c>
      <c r="B28" s="2">
        <v>2023</v>
      </c>
      <c r="C28" s="2" t="s">
        <v>22</v>
      </c>
      <c r="D28" s="2" t="s">
        <v>166</v>
      </c>
      <c r="E28" s="2" t="s">
        <v>54</v>
      </c>
      <c r="F28" s="2" t="s">
        <v>1325</v>
      </c>
      <c r="G28" s="2" t="s">
        <v>1317</v>
      </c>
      <c r="H28" s="2">
        <v>856.4</v>
      </c>
      <c r="I28" s="2" t="s">
        <v>1314</v>
      </c>
      <c r="J28" s="2">
        <v>6.21</v>
      </c>
      <c r="K28" s="2">
        <v>0.41549999999999998</v>
      </c>
      <c r="L28" s="2">
        <v>0.7167</v>
      </c>
      <c r="M28" s="2">
        <v>0.61380000000000001</v>
      </c>
      <c r="N28" s="2" t="s">
        <v>38</v>
      </c>
      <c r="O28" s="2" t="s">
        <v>1296</v>
      </c>
      <c r="P28" s="2" t="s">
        <v>1297</v>
      </c>
    </row>
    <row r="29" spans="1:16" ht="24" x14ac:dyDescent="0.25">
      <c r="A29" s="3">
        <v>26</v>
      </c>
      <c r="B29" s="3">
        <v>2023</v>
      </c>
      <c r="C29" s="3" t="s">
        <v>32</v>
      </c>
      <c r="D29" s="3" t="s">
        <v>138</v>
      </c>
      <c r="E29" s="3" t="s">
        <v>65</v>
      </c>
      <c r="F29" s="3" t="s">
        <v>1305</v>
      </c>
      <c r="G29" s="3" t="s">
        <v>1299</v>
      </c>
      <c r="H29" s="3">
        <v>138.41999999999999</v>
      </c>
      <c r="I29" s="3" t="s">
        <v>1307</v>
      </c>
      <c r="J29" s="3">
        <v>10.590999999999999</v>
      </c>
      <c r="K29" s="3">
        <v>0.4955</v>
      </c>
      <c r="L29" s="3">
        <v>1.4577</v>
      </c>
      <c r="M29" s="3">
        <v>0.20180000000000001</v>
      </c>
      <c r="N29" s="3" t="s">
        <v>38</v>
      </c>
      <c r="O29" s="3" t="s">
        <v>1321</v>
      </c>
      <c r="P29" s="3" t="s">
        <v>1297</v>
      </c>
    </row>
    <row r="30" spans="1:16" ht="24" x14ac:dyDescent="0.25">
      <c r="A30" s="2">
        <v>27</v>
      </c>
      <c r="B30" s="2">
        <v>2023</v>
      </c>
      <c r="C30" s="2" t="s">
        <v>39</v>
      </c>
      <c r="D30" s="2" t="s">
        <v>105</v>
      </c>
      <c r="E30" s="2" t="s">
        <v>154</v>
      </c>
      <c r="F30" s="2" t="s">
        <v>1322</v>
      </c>
      <c r="G30" s="2" t="s">
        <v>1290</v>
      </c>
      <c r="H30" s="2">
        <v>785.71</v>
      </c>
      <c r="I30" s="2" t="s">
        <v>1304</v>
      </c>
      <c r="J30" s="2">
        <v>12.946999999999999</v>
      </c>
      <c r="K30" s="2">
        <v>0.5383</v>
      </c>
      <c r="L30" s="2">
        <v>1.9359999999999999</v>
      </c>
      <c r="M30" s="2">
        <v>1.5210999999999999</v>
      </c>
      <c r="N30" s="2" t="s">
        <v>38</v>
      </c>
      <c r="O30" s="2" t="s">
        <v>1319</v>
      </c>
      <c r="P30" s="2" t="s">
        <v>1293</v>
      </c>
    </row>
    <row r="31" spans="1:16" ht="24" x14ac:dyDescent="0.25">
      <c r="A31" s="3">
        <v>28</v>
      </c>
      <c r="B31" s="3">
        <v>2023</v>
      </c>
      <c r="C31" s="3" t="s">
        <v>46</v>
      </c>
      <c r="D31" s="3" t="s">
        <v>40</v>
      </c>
      <c r="E31" s="3" t="s">
        <v>58</v>
      </c>
      <c r="F31" s="3" t="s">
        <v>1294</v>
      </c>
      <c r="G31" s="3" t="s">
        <v>1295</v>
      </c>
      <c r="H31" s="3">
        <v>945.12</v>
      </c>
      <c r="I31" s="3" t="s">
        <v>1320</v>
      </c>
      <c r="J31" s="3">
        <v>2.202</v>
      </c>
      <c r="K31" s="3">
        <v>0.60770000000000002</v>
      </c>
      <c r="L31" s="3">
        <v>0.37169999999999997</v>
      </c>
      <c r="M31" s="3">
        <v>0.3513</v>
      </c>
      <c r="N31" s="3" t="s">
        <v>30</v>
      </c>
      <c r="O31" s="3" t="s">
        <v>1292</v>
      </c>
      <c r="P31" s="3" t="s">
        <v>1293</v>
      </c>
    </row>
    <row r="32" spans="1:16" ht="24" x14ac:dyDescent="0.25">
      <c r="A32" s="2">
        <v>29</v>
      </c>
      <c r="B32" s="2">
        <v>2023</v>
      </c>
      <c r="C32" s="2" t="s">
        <v>22</v>
      </c>
      <c r="D32" s="2" t="s">
        <v>183</v>
      </c>
      <c r="E32" s="2" t="s">
        <v>154</v>
      </c>
      <c r="F32" s="2" t="s">
        <v>1294</v>
      </c>
      <c r="G32" s="2" t="s">
        <v>1300</v>
      </c>
      <c r="H32" s="2">
        <v>241.61</v>
      </c>
      <c r="I32" s="2" t="s">
        <v>1314</v>
      </c>
      <c r="J32" s="2">
        <v>7.585</v>
      </c>
      <c r="K32" s="2">
        <v>0.69399999999999995</v>
      </c>
      <c r="L32" s="2">
        <v>1.4621999999999999</v>
      </c>
      <c r="M32" s="2">
        <v>0.3533</v>
      </c>
      <c r="N32" s="2" t="s">
        <v>38</v>
      </c>
      <c r="O32" s="2" t="s">
        <v>1315</v>
      </c>
      <c r="P32" s="2" t="s">
        <v>52</v>
      </c>
    </row>
    <row r="33" spans="1:16" ht="24" x14ac:dyDescent="0.25">
      <c r="A33" s="3">
        <v>30</v>
      </c>
      <c r="B33" s="3">
        <v>2023</v>
      </c>
      <c r="C33" s="3" t="s">
        <v>32</v>
      </c>
      <c r="D33" s="3" t="s">
        <v>84</v>
      </c>
      <c r="E33" s="3" t="s">
        <v>24</v>
      </c>
      <c r="F33" s="3" t="s">
        <v>1313</v>
      </c>
      <c r="G33" s="3" t="s">
        <v>1303</v>
      </c>
      <c r="H33" s="3">
        <v>632.70000000000005</v>
      </c>
      <c r="I33" s="3" t="s">
        <v>1326</v>
      </c>
      <c r="J33" s="3">
        <v>6.9539999999999997</v>
      </c>
      <c r="K33" s="3">
        <v>0.35580000000000001</v>
      </c>
      <c r="L33" s="3">
        <v>0.68730000000000002</v>
      </c>
      <c r="M33" s="3">
        <v>0.43490000000000001</v>
      </c>
      <c r="N33" s="3" t="s">
        <v>30</v>
      </c>
      <c r="O33" s="3" t="s">
        <v>1292</v>
      </c>
      <c r="P33" s="3" t="s">
        <v>1297</v>
      </c>
    </row>
    <row r="34" spans="1:16" ht="24" x14ac:dyDescent="0.25">
      <c r="A34" s="2">
        <v>31</v>
      </c>
      <c r="B34" s="2">
        <v>2023</v>
      </c>
      <c r="C34" s="2" t="s">
        <v>39</v>
      </c>
      <c r="D34" s="2" t="s">
        <v>84</v>
      </c>
      <c r="E34" s="2" t="s">
        <v>92</v>
      </c>
      <c r="F34" s="2" t="s">
        <v>1298</v>
      </c>
      <c r="G34" s="2" t="s">
        <v>1295</v>
      </c>
      <c r="H34" s="2">
        <v>573.41</v>
      </c>
      <c r="I34" s="2" t="s">
        <v>1320</v>
      </c>
      <c r="J34" s="2">
        <v>8.8030000000000008</v>
      </c>
      <c r="K34" s="2">
        <v>0.4869</v>
      </c>
      <c r="L34" s="2">
        <v>1.1906000000000001</v>
      </c>
      <c r="M34" s="2">
        <v>0.68269999999999997</v>
      </c>
      <c r="N34" s="2" t="s">
        <v>38</v>
      </c>
      <c r="O34" s="2" t="s">
        <v>1315</v>
      </c>
      <c r="P34" s="2" t="s">
        <v>52</v>
      </c>
    </row>
    <row r="35" spans="1:16" ht="24" x14ac:dyDescent="0.25">
      <c r="A35" s="3">
        <v>32</v>
      </c>
      <c r="B35" s="3">
        <v>2023</v>
      </c>
      <c r="C35" s="3" t="s">
        <v>46</v>
      </c>
      <c r="D35" s="3" t="s">
        <v>23</v>
      </c>
      <c r="E35" s="3" t="s">
        <v>110</v>
      </c>
      <c r="F35" s="3" t="s">
        <v>1294</v>
      </c>
      <c r="G35" s="3" t="s">
        <v>1290</v>
      </c>
      <c r="H35" s="3">
        <v>571.85</v>
      </c>
      <c r="I35" s="3" t="s">
        <v>1320</v>
      </c>
      <c r="J35" s="3">
        <v>1.9419999999999999</v>
      </c>
      <c r="K35" s="3">
        <v>0.38169999999999998</v>
      </c>
      <c r="L35" s="3">
        <v>0.2059</v>
      </c>
      <c r="M35" s="3">
        <v>0.1177</v>
      </c>
      <c r="N35" s="3" t="s">
        <v>38</v>
      </c>
      <c r="O35" s="3" t="s">
        <v>1308</v>
      </c>
      <c r="P35" s="3" t="s">
        <v>1297</v>
      </c>
    </row>
    <row r="36" spans="1:16" ht="24" x14ac:dyDescent="0.25">
      <c r="A36" s="2">
        <v>33</v>
      </c>
      <c r="B36" s="2">
        <v>2023</v>
      </c>
      <c r="C36" s="2" t="s">
        <v>22</v>
      </c>
      <c r="D36" s="2" t="s">
        <v>84</v>
      </c>
      <c r="E36" s="2" t="s">
        <v>92</v>
      </c>
      <c r="F36" s="2" t="s">
        <v>1305</v>
      </c>
      <c r="G36" s="2" t="s">
        <v>1300</v>
      </c>
      <c r="H36" s="2">
        <v>489.07</v>
      </c>
      <c r="I36" s="2" t="s">
        <v>1291</v>
      </c>
      <c r="J36" s="2">
        <v>8.0239999999999991</v>
      </c>
      <c r="K36" s="2">
        <v>0.64239999999999997</v>
      </c>
      <c r="L36" s="2">
        <v>1.4318</v>
      </c>
      <c r="M36" s="2">
        <v>0.70030000000000003</v>
      </c>
      <c r="N36" s="2" t="s">
        <v>38</v>
      </c>
      <c r="O36" s="2" t="s">
        <v>1296</v>
      </c>
      <c r="P36" s="2" t="s">
        <v>1293</v>
      </c>
    </row>
    <row r="37" spans="1:16" ht="24" x14ac:dyDescent="0.25">
      <c r="A37" s="3">
        <v>34</v>
      </c>
      <c r="B37" s="3">
        <v>2023</v>
      </c>
      <c r="C37" s="3" t="s">
        <v>32</v>
      </c>
      <c r="D37" s="3" t="s">
        <v>138</v>
      </c>
      <c r="E37" s="3" t="s">
        <v>58</v>
      </c>
      <c r="F37" s="3" t="s">
        <v>1305</v>
      </c>
      <c r="G37" s="3" t="s">
        <v>1295</v>
      </c>
      <c r="H37" s="3">
        <v>555.16999999999996</v>
      </c>
      <c r="I37" s="3" t="s">
        <v>1304</v>
      </c>
      <c r="J37" s="3">
        <v>12.106999999999999</v>
      </c>
      <c r="K37" s="3">
        <v>0.41149999999999998</v>
      </c>
      <c r="L37" s="3">
        <v>1.3838999999999999</v>
      </c>
      <c r="M37" s="3">
        <v>0.76829999999999998</v>
      </c>
      <c r="N37" s="3" t="s">
        <v>38</v>
      </c>
      <c r="O37" s="3" t="s">
        <v>1301</v>
      </c>
      <c r="P37" s="3" t="s">
        <v>1293</v>
      </c>
    </row>
    <row r="38" spans="1:16" ht="24" x14ac:dyDescent="0.25">
      <c r="A38" s="2">
        <v>35</v>
      </c>
      <c r="B38" s="2">
        <v>2023</v>
      </c>
      <c r="C38" s="2" t="s">
        <v>39</v>
      </c>
      <c r="D38" s="2" t="s">
        <v>23</v>
      </c>
      <c r="E38" s="2" t="s">
        <v>110</v>
      </c>
      <c r="F38" s="2" t="s">
        <v>1294</v>
      </c>
      <c r="G38" s="2" t="s">
        <v>1290</v>
      </c>
      <c r="H38" s="2">
        <v>85.53</v>
      </c>
      <c r="I38" s="2" t="s">
        <v>1318</v>
      </c>
      <c r="J38" s="2">
        <v>2.3079999999999998</v>
      </c>
      <c r="K38" s="2">
        <v>0.49930000000000002</v>
      </c>
      <c r="L38" s="2">
        <v>0.3201</v>
      </c>
      <c r="M38" s="2">
        <v>2.7400000000000001E-2</v>
      </c>
      <c r="N38" s="2" t="s">
        <v>38</v>
      </c>
      <c r="O38" s="2" t="s">
        <v>1292</v>
      </c>
      <c r="P38" s="2" t="s">
        <v>1297</v>
      </c>
    </row>
    <row r="39" spans="1:16" ht="24" x14ac:dyDescent="0.25">
      <c r="A39" s="3">
        <v>36</v>
      </c>
      <c r="B39" s="3">
        <v>2023</v>
      </c>
      <c r="C39" s="3" t="s">
        <v>46</v>
      </c>
      <c r="D39" s="3" t="s">
        <v>138</v>
      </c>
      <c r="E39" s="3" t="s">
        <v>58</v>
      </c>
      <c r="F39" s="3" t="s">
        <v>1302</v>
      </c>
      <c r="G39" s="3" t="s">
        <v>1310</v>
      </c>
      <c r="H39" s="3">
        <v>904.71</v>
      </c>
      <c r="I39" s="3" t="s">
        <v>1326</v>
      </c>
      <c r="J39" s="3">
        <v>4.7539999999999996</v>
      </c>
      <c r="K39" s="3">
        <v>0.61709999999999998</v>
      </c>
      <c r="L39" s="3">
        <v>0.81489999999999996</v>
      </c>
      <c r="M39" s="3">
        <v>0.73719999999999997</v>
      </c>
      <c r="N39" s="3" t="s">
        <v>38</v>
      </c>
      <c r="O39" s="3" t="s">
        <v>1308</v>
      </c>
      <c r="P39" s="3" t="s">
        <v>1297</v>
      </c>
    </row>
    <row r="40" spans="1:16" ht="24" x14ac:dyDescent="0.25">
      <c r="A40" s="2">
        <v>37</v>
      </c>
      <c r="B40" s="2">
        <v>2023</v>
      </c>
      <c r="C40" s="2" t="s">
        <v>22</v>
      </c>
      <c r="D40" s="2" t="s">
        <v>53</v>
      </c>
      <c r="E40" s="2" t="s">
        <v>120</v>
      </c>
      <c r="F40" s="2" t="s">
        <v>1305</v>
      </c>
      <c r="G40" s="2" t="s">
        <v>1295</v>
      </c>
      <c r="H40" s="2">
        <v>210.63</v>
      </c>
      <c r="I40" s="2" t="s">
        <v>1324</v>
      </c>
      <c r="J40" s="2">
        <v>1.9359999999999999</v>
      </c>
      <c r="K40" s="2">
        <v>0.75990000000000002</v>
      </c>
      <c r="L40" s="2">
        <v>0.40870000000000001</v>
      </c>
      <c r="M40" s="2">
        <v>8.6099999999999996E-2</v>
      </c>
      <c r="N40" s="2" t="s">
        <v>30</v>
      </c>
      <c r="O40" s="2" t="s">
        <v>1296</v>
      </c>
      <c r="P40" s="2" t="s">
        <v>1297</v>
      </c>
    </row>
    <row r="41" spans="1:16" ht="24" x14ac:dyDescent="0.25">
      <c r="A41" s="3">
        <v>38</v>
      </c>
      <c r="B41" s="3">
        <v>2023</v>
      </c>
      <c r="C41" s="3" t="s">
        <v>32</v>
      </c>
      <c r="D41" s="3" t="s">
        <v>87</v>
      </c>
      <c r="E41" s="3" t="s">
        <v>33</v>
      </c>
      <c r="F41" s="3" t="s">
        <v>1313</v>
      </c>
      <c r="G41" s="3" t="s">
        <v>1306</v>
      </c>
      <c r="H41" s="3">
        <v>552.52</v>
      </c>
      <c r="I41" s="3" t="s">
        <v>1324</v>
      </c>
      <c r="J41" s="3">
        <v>9.0809999999999995</v>
      </c>
      <c r="K41" s="3">
        <v>0.48870000000000002</v>
      </c>
      <c r="L41" s="3">
        <v>1.2327999999999999</v>
      </c>
      <c r="M41" s="3">
        <v>0.68110000000000004</v>
      </c>
      <c r="N41" s="3" t="s">
        <v>38</v>
      </c>
      <c r="O41" s="3" t="s">
        <v>1315</v>
      </c>
      <c r="P41" s="3" t="s">
        <v>1297</v>
      </c>
    </row>
    <row r="42" spans="1:16" ht="24" x14ac:dyDescent="0.25">
      <c r="A42" s="2">
        <v>39</v>
      </c>
      <c r="B42" s="2">
        <v>2023</v>
      </c>
      <c r="C42" s="2" t="s">
        <v>39</v>
      </c>
      <c r="D42" s="2" t="s">
        <v>133</v>
      </c>
      <c r="E42" s="2" t="s">
        <v>154</v>
      </c>
      <c r="F42" s="2" t="s">
        <v>1294</v>
      </c>
      <c r="G42" s="2" t="s">
        <v>1295</v>
      </c>
      <c r="H42" s="2">
        <v>903.76</v>
      </c>
      <c r="I42" s="2" t="s">
        <v>1326</v>
      </c>
      <c r="J42" s="2">
        <v>6.3010000000000002</v>
      </c>
      <c r="K42" s="2">
        <v>0.3916</v>
      </c>
      <c r="L42" s="2">
        <v>0.68540000000000001</v>
      </c>
      <c r="M42" s="2">
        <v>0.61939999999999995</v>
      </c>
      <c r="N42" s="2" t="s">
        <v>30</v>
      </c>
      <c r="O42" s="2" t="s">
        <v>1321</v>
      </c>
      <c r="P42" s="2" t="s">
        <v>1297</v>
      </c>
    </row>
    <row r="43" spans="1:16" ht="24" x14ac:dyDescent="0.25">
      <c r="A43" s="3">
        <v>40</v>
      </c>
      <c r="B43" s="3">
        <v>2023</v>
      </c>
      <c r="C43" s="3" t="s">
        <v>46</v>
      </c>
      <c r="D43" s="3" t="s">
        <v>95</v>
      </c>
      <c r="E43" s="3" t="s">
        <v>96</v>
      </c>
      <c r="F43" s="3" t="s">
        <v>1309</v>
      </c>
      <c r="G43" s="3" t="s">
        <v>1327</v>
      </c>
      <c r="H43" s="3">
        <v>732.94</v>
      </c>
      <c r="I43" s="3" t="s">
        <v>1326</v>
      </c>
      <c r="J43" s="3">
        <v>14.933</v>
      </c>
      <c r="K43" s="3">
        <v>0.69840000000000002</v>
      </c>
      <c r="L43" s="3">
        <v>2.8969999999999998</v>
      </c>
      <c r="M43" s="3">
        <v>2.1233</v>
      </c>
      <c r="N43" s="3" t="s">
        <v>38</v>
      </c>
      <c r="O43" s="3" t="s">
        <v>1296</v>
      </c>
      <c r="P43" s="3" t="s">
        <v>52</v>
      </c>
    </row>
    <row r="44" spans="1:16" ht="24" x14ac:dyDescent="0.25">
      <c r="A44" s="2">
        <v>41</v>
      </c>
      <c r="B44" s="2">
        <v>2023</v>
      </c>
      <c r="C44" s="2" t="s">
        <v>22</v>
      </c>
      <c r="D44" s="2" t="s">
        <v>47</v>
      </c>
      <c r="E44" s="2" t="s">
        <v>120</v>
      </c>
      <c r="F44" s="2" t="s">
        <v>1298</v>
      </c>
      <c r="G44" s="2" t="s">
        <v>1299</v>
      </c>
      <c r="H44" s="2">
        <v>821.75</v>
      </c>
      <c r="I44" s="2" t="s">
        <v>1304</v>
      </c>
      <c r="J44" s="2">
        <v>5.0869999999999997</v>
      </c>
      <c r="K44" s="2">
        <v>0.74390000000000001</v>
      </c>
      <c r="L44" s="2">
        <v>1.0511999999999999</v>
      </c>
      <c r="M44" s="2">
        <v>0.86380000000000001</v>
      </c>
      <c r="N44" s="2" t="s">
        <v>38</v>
      </c>
      <c r="O44" s="2" t="s">
        <v>1321</v>
      </c>
      <c r="P44" s="2" t="s">
        <v>1297</v>
      </c>
    </row>
    <row r="45" spans="1:16" ht="24" x14ac:dyDescent="0.25">
      <c r="A45" s="3">
        <v>42</v>
      </c>
      <c r="B45" s="3">
        <v>2023</v>
      </c>
      <c r="C45" s="3" t="s">
        <v>32</v>
      </c>
      <c r="D45" s="3" t="s">
        <v>57</v>
      </c>
      <c r="E45" s="3" t="s">
        <v>88</v>
      </c>
      <c r="F45" s="3" t="s">
        <v>1309</v>
      </c>
      <c r="G45" s="3" t="s">
        <v>1317</v>
      </c>
      <c r="H45" s="3">
        <v>110.88</v>
      </c>
      <c r="I45" s="3" t="s">
        <v>1291</v>
      </c>
      <c r="J45" s="3">
        <v>8.4510000000000005</v>
      </c>
      <c r="K45" s="3">
        <v>0.38300000000000001</v>
      </c>
      <c r="L45" s="3">
        <v>0.89910000000000001</v>
      </c>
      <c r="M45" s="3">
        <v>9.9699999999999997E-2</v>
      </c>
      <c r="N45" s="3" t="s">
        <v>30</v>
      </c>
      <c r="O45" s="3" t="s">
        <v>1301</v>
      </c>
      <c r="P45" s="3" t="s">
        <v>1293</v>
      </c>
    </row>
    <row r="46" spans="1:16" ht="24" x14ac:dyDescent="0.25">
      <c r="A46" s="2">
        <v>43</v>
      </c>
      <c r="B46" s="2">
        <v>2023</v>
      </c>
      <c r="C46" s="2" t="s">
        <v>39</v>
      </c>
      <c r="D46" s="2" t="s">
        <v>84</v>
      </c>
      <c r="E46" s="2" t="s">
        <v>92</v>
      </c>
      <c r="F46" s="2" t="s">
        <v>1313</v>
      </c>
      <c r="G46" s="2" t="s">
        <v>1295</v>
      </c>
      <c r="H46" s="2">
        <v>98.85</v>
      </c>
      <c r="I46" s="2" t="s">
        <v>1326</v>
      </c>
      <c r="J46" s="2">
        <v>14.702999999999999</v>
      </c>
      <c r="K46" s="2">
        <v>0.46110000000000001</v>
      </c>
      <c r="L46" s="2">
        <v>1.8832</v>
      </c>
      <c r="M46" s="2">
        <v>0.1862</v>
      </c>
      <c r="N46" s="2" t="s">
        <v>38</v>
      </c>
      <c r="O46" s="2" t="s">
        <v>1301</v>
      </c>
      <c r="P46" s="2" t="s">
        <v>1297</v>
      </c>
    </row>
    <row r="47" spans="1:16" ht="24" x14ac:dyDescent="0.25">
      <c r="A47" s="3">
        <v>44</v>
      </c>
      <c r="B47" s="3">
        <v>2023</v>
      </c>
      <c r="C47" s="3" t="s">
        <v>46</v>
      </c>
      <c r="D47" s="3" t="s">
        <v>166</v>
      </c>
      <c r="E47" s="3" t="s">
        <v>54</v>
      </c>
      <c r="F47" s="3" t="s">
        <v>1289</v>
      </c>
      <c r="G47" s="3" t="s">
        <v>1306</v>
      </c>
      <c r="H47" s="3">
        <v>821.52</v>
      </c>
      <c r="I47" s="3" t="s">
        <v>1324</v>
      </c>
      <c r="J47" s="3">
        <v>7.5990000000000002</v>
      </c>
      <c r="K47" s="3">
        <v>0.61450000000000005</v>
      </c>
      <c r="L47" s="3">
        <v>1.2970999999999999</v>
      </c>
      <c r="M47" s="3">
        <v>1.0656000000000001</v>
      </c>
      <c r="N47" s="3" t="s">
        <v>38</v>
      </c>
      <c r="O47" s="3" t="s">
        <v>1321</v>
      </c>
      <c r="P47" s="3" t="s">
        <v>1293</v>
      </c>
    </row>
    <row r="48" spans="1:16" ht="24" x14ac:dyDescent="0.25">
      <c r="A48" s="2">
        <v>45</v>
      </c>
      <c r="B48" s="2">
        <v>2023</v>
      </c>
      <c r="C48" s="2" t="s">
        <v>22</v>
      </c>
      <c r="D48" s="2" t="s">
        <v>75</v>
      </c>
      <c r="E48" s="2" t="s">
        <v>92</v>
      </c>
      <c r="F48" s="2" t="s">
        <v>1316</v>
      </c>
      <c r="G48" s="2" t="s">
        <v>1306</v>
      </c>
      <c r="H48" s="2">
        <v>171.58</v>
      </c>
      <c r="I48" s="2" t="s">
        <v>1323</v>
      </c>
      <c r="J48" s="2">
        <v>14.224</v>
      </c>
      <c r="K48" s="2">
        <v>0.54479999999999995</v>
      </c>
      <c r="L48" s="2">
        <v>2.1526000000000001</v>
      </c>
      <c r="M48" s="2">
        <v>0.36930000000000002</v>
      </c>
      <c r="N48" s="2" t="s">
        <v>38</v>
      </c>
      <c r="O48" s="2" t="s">
        <v>1319</v>
      </c>
      <c r="P48" s="2" t="s">
        <v>1297</v>
      </c>
    </row>
    <row r="49" spans="1:16" ht="24" x14ac:dyDescent="0.25">
      <c r="A49" s="3">
        <v>46</v>
      </c>
      <c r="B49" s="3">
        <v>2023</v>
      </c>
      <c r="C49" s="3" t="s">
        <v>32</v>
      </c>
      <c r="D49" s="3" t="s">
        <v>138</v>
      </c>
      <c r="E49" s="3" t="s">
        <v>154</v>
      </c>
      <c r="F49" s="3" t="s">
        <v>1322</v>
      </c>
      <c r="G49" s="3" t="s">
        <v>1295</v>
      </c>
      <c r="H49" s="3">
        <v>128.44</v>
      </c>
      <c r="I49" s="3" t="s">
        <v>1320</v>
      </c>
      <c r="J49" s="3">
        <v>0.63800000000000001</v>
      </c>
      <c r="K49" s="3">
        <v>0.60680000000000001</v>
      </c>
      <c r="L49" s="3">
        <v>0.1075</v>
      </c>
      <c r="M49" s="3">
        <v>1.38E-2</v>
      </c>
      <c r="N49" s="3" t="s">
        <v>38</v>
      </c>
      <c r="O49" s="3" t="s">
        <v>1301</v>
      </c>
      <c r="P49" s="3" t="s">
        <v>1293</v>
      </c>
    </row>
    <row r="50" spans="1:16" ht="24" x14ac:dyDescent="0.25">
      <c r="A50" s="2">
        <v>47</v>
      </c>
      <c r="B50" s="2">
        <v>2023</v>
      </c>
      <c r="C50" s="2" t="s">
        <v>39</v>
      </c>
      <c r="D50" s="2" t="s">
        <v>53</v>
      </c>
      <c r="E50" s="2" t="s">
        <v>154</v>
      </c>
      <c r="F50" s="2" t="s">
        <v>1298</v>
      </c>
      <c r="G50" s="2" t="s">
        <v>1328</v>
      </c>
      <c r="H50" s="2">
        <v>918.52</v>
      </c>
      <c r="I50" s="2" t="s">
        <v>1314</v>
      </c>
      <c r="J50" s="2">
        <v>9.7680000000000007</v>
      </c>
      <c r="K50" s="2">
        <v>0.53510000000000002</v>
      </c>
      <c r="L50" s="2">
        <v>1.4519</v>
      </c>
      <c r="M50" s="2">
        <v>1.3335999999999999</v>
      </c>
      <c r="N50" s="2" t="s">
        <v>30</v>
      </c>
      <c r="O50" s="2" t="s">
        <v>1319</v>
      </c>
      <c r="P50" s="2" t="s">
        <v>52</v>
      </c>
    </row>
    <row r="51" spans="1:16" ht="24" x14ac:dyDescent="0.25">
      <c r="A51" s="3">
        <v>48</v>
      </c>
      <c r="B51" s="3">
        <v>2023</v>
      </c>
      <c r="C51" s="3" t="s">
        <v>46</v>
      </c>
      <c r="D51" s="3" t="s">
        <v>105</v>
      </c>
      <c r="E51" s="3" t="s">
        <v>139</v>
      </c>
      <c r="F51" s="3" t="s">
        <v>1305</v>
      </c>
      <c r="G51" s="3" t="s">
        <v>1317</v>
      </c>
      <c r="H51" s="3">
        <v>798.67</v>
      </c>
      <c r="I51" s="3" t="s">
        <v>1304</v>
      </c>
      <c r="J51" s="3">
        <v>7.782</v>
      </c>
      <c r="K51" s="3">
        <v>0.4879</v>
      </c>
      <c r="L51" s="3">
        <v>1.0547</v>
      </c>
      <c r="M51" s="3">
        <v>0.84240000000000004</v>
      </c>
      <c r="N51" s="3" t="s">
        <v>38</v>
      </c>
      <c r="O51" s="3" t="s">
        <v>1315</v>
      </c>
      <c r="P51" s="3" t="s">
        <v>52</v>
      </c>
    </row>
    <row r="52" spans="1:16" ht="24" x14ac:dyDescent="0.25">
      <c r="A52" s="2">
        <v>49</v>
      </c>
      <c r="B52" s="2">
        <v>2023</v>
      </c>
      <c r="C52" s="2" t="s">
        <v>22</v>
      </c>
      <c r="D52" s="2" t="s">
        <v>53</v>
      </c>
      <c r="E52" s="2" t="s">
        <v>24</v>
      </c>
      <c r="F52" s="2" t="s">
        <v>1322</v>
      </c>
      <c r="G52" s="2" t="s">
        <v>1327</v>
      </c>
      <c r="H52" s="2">
        <v>845.4</v>
      </c>
      <c r="I52" s="2" t="s">
        <v>1307</v>
      </c>
      <c r="J52" s="2">
        <v>9.7029999999999994</v>
      </c>
      <c r="K52" s="2">
        <v>0.38829999999999998</v>
      </c>
      <c r="L52" s="2">
        <v>1.0466</v>
      </c>
      <c r="M52" s="2">
        <v>0.88480000000000003</v>
      </c>
      <c r="N52" s="2" t="s">
        <v>30</v>
      </c>
      <c r="O52" s="2" t="s">
        <v>1301</v>
      </c>
      <c r="P52" s="2" t="s">
        <v>1297</v>
      </c>
    </row>
    <row r="53" spans="1:16" ht="24" x14ac:dyDescent="0.25">
      <c r="A53" s="3">
        <v>50</v>
      </c>
      <c r="B53" s="3">
        <v>2023</v>
      </c>
      <c r="C53" s="3" t="s">
        <v>32</v>
      </c>
      <c r="D53" s="3" t="s">
        <v>105</v>
      </c>
      <c r="E53" s="3" t="s">
        <v>154</v>
      </c>
      <c r="F53" s="3" t="s">
        <v>1316</v>
      </c>
      <c r="G53" s="3" t="s">
        <v>1295</v>
      </c>
      <c r="H53" s="3">
        <v>929.66</v>
      </c>
      <c r="I53" s="3" t="s">
        <v>1314</v>
      </c>
      <c r="J53" s="3">
        <v>12.221</v>
      </c>
      <c r="K53" s="3">
        <v>0.3553</v>
      </c>
      <c r="L53" s="3">
        <v>1.2061999999999999</v>
      </c>
      <c r="M53" s="3">
        <v>1.1214</v>
      </c>
      <c r="N53" s="3" t="s">
        <v>38</v>
      </c>
      <c r="O53" s="3" t="s">
        <v>1308</v>
      </c>
      <c r="P53" s="3" t="s">
        <v>1297</v>
      </c>
    </row>
    <row r="54" spans="1:16" ht="24" x14ac:dyDescent="0.25">
      <c r="A54" s="2">
        <v>51</v>
      </c>
      <c r="B54" s="2">
        <v>2023</v>
      </c>
      <c r="C54" s="2" t="s">
        <v>39</v>
      </c>
      <c r="D54" s="2" t="s">
        <v>47</v>
      </c>
      <c r="E54" s="2" t="s">
        <v>120</v>
      </c>
      <c r="F54" s="2" t="s">
        <v>1298</v>
      </c>
      <c r="G54" s="2" t="s">
        <v>1299</v>
      </c>
      <c r="H54" s="2">
        <v>997.96</v>
      </c>
      <c r="I54" s="2" t="s">
        <v>1307</v>
      </c>
      <c r="J54" s="2">
        <v>13.377000000000001</v>
      </c>
      <c r="K54" s="2">
        <v>0.69889999999999997</v>
      </c>
      <c r="L54" s="2">
        <v>2.597</v>
      </c>
      <c r="M54" s="2">
        <v>2.5916999999999999</v>
      </c>
      <c r="N54" s="2" t="s">
        <v>38</v>
      </c>
      <c r="O54" s="2" t="s">
        <v>1315</v>
      </c>
      <c r="P54" s="2" t="s">
        <v>1297</v>
      </c>
    </row>
    <row r="55" spans="1:16" ht="24" x14ac:dyDescent="0.25">
      <c r="A55" s="3">
        <v>52</v>
      </c>
      <c r="B55" s="3">
        <v>2023</v>
      </c>
      <c r="C55" s="3" t="s">
        <v>46</v>
      </c>
      <c r="D55" s="3" t="s">
        <v>252</v>
      </c>
      <c r="E55" s="3" t="s">
        <v>154</v>
      </c>
      <c r="F55" s="3" t="s">
        <v>1298</v>
      </c>
      <c r="G55" s="3" t="s">
        <v>1290</v>
      </c>
      <c r="H55" s="3">
        <v>534.79</v>
      </c>
      <c r="I55" s="3" t="s">
        <v>1323</v>
      </c>
      <c r="J55" s="3">
        <v>5.5030000000000001</v>
      </c>
      <c r="K55" s="3">
        <v>0.84709999999999996</v>
      </c>
      <c r="L55" s="3">
        <v>1.2948999999999999</v>
      </c>
      <c r="M55" s="3">
        <v>0.6925</v>
      </c>
      <c r="N55" s="3" t="s">
        <v>38</v>
      </c>
      <c r="O55" s="3" t="s">
        <v>1296</v>
      </c>
      <c r="P55" s="3" t="s">
        <v>1297</v>
      </c>
    </row>
    <row r="56" spans="1:16" ht="24" x14ac:dyDescent="0.25">
      <c r="A56" s="2">
        <v>53</v>
      </c>
      <c r="B56" s="2">
        <v>2023</v>
      </c>
      <c r="C56" s="2" t="s">
        <v>22</v>
      </c>
      <c r="D56" s="2" t="s">
        <v>183</v>
      </c>
      <c r="E56" s="2" t="s">
        <v>24</v>
      </c>
      <c r="F56" s="2" t="s">
        <v>1309</v>
      </c>
      <c r="G56" s="2" t="s">
        <v>1295</v>
      </c>
      <c r="H56" s="2">
        <v>930.26</v>
      </c>
      <c r="I56" s="2" t="s">
        <v>1326</v>
      </c>
      <c r="J56" s="2">
        <v>11.574</v>
      </c>
      <c r="K56" s="2">
        <v>0.80189999999999995</v>
      </c>
      <c r="L56" s="2">
        <v>2.5781000000000001</v>
      </c>
      <c r="M56" s="2">
        <v>2.3982999999999999</v>
      </c>
      <c r="N56" s="2" t="s">
        <v>38</v>
      </c>
      <c r="O56" s="2" t="s">
        <v>1292</v>
      </c>
      <c r="P56" s="2" t="s">
        <v>52</v>
      </c>
    </row>
    <row r="57" spans="1:16" ht="24" x14ac:dyDescent="0.25">
      <c r="A57" s="3">
        <v>54</v>
      </c>
      <c r="B57" s="3">
        <v>2023</v>
      </c>
      <c r="C57" s="3" t="s">
        <v>32</v>
      </c>
      <c r="D57" s="3" t="s">
        <v>40</v>
      </c>
      <c r="E57" s="3" t="s">
        <v>70</v>
      </c>
      <c r="F57" s="3" t="s">
        <v>1305</v>
      </c>
      <c r="G57" s="3" t="s">
        <v>1306</v>
      </c>
      <c r="H57" s="3">
        <v>496.01</v>
      </c>
      <c r="I57" s="3" t="s">
        <v>1304</v>
      </c>
      <c r="J57" s="3">
        <v>2.972</v>
      </c>
      <c r="K57" s="3">
        <v>0.83489999999999998</v>
      </c>
      <c r="L57" s="3">
        <v>0.68930000000000002</v>
      </c>
      <c r="M57" s="3">
        <v>0.34189999999999998</v>
      </c>
      <c r="N57" s="3" t="s">
        <v>38</v>
      </c>
      <c r="O57" s="3" t="s">
        <v>1301</v>
      </c>
      <c r="P57" s="3" t="s">
        <v>52</v>
      </c>
    </row>
    <row r="58" spans="1:16" ht="24" x14ac:dyDescent="0.25">
      <c r="A58" s="2">
        <v>55</v>
      </c>
      <c r="B58" s="2">
        <v>2023</v>
      </c>
      <c r="C58" s="2" t="s">
        <v>39</v>
      </c>
      <c r="D58" s="2" t="s">
        <v>166</v>
      </c>
      <c r="E58" s="2" t="s">
        <v>33</v>
      </c>
      <c r="F58" s="2" t="s">
        <v>1305</v>
      </c>
      <c r="G58" s="2" t="s">
        <v>1317</v>
      </c>
      <c r="H58" s="2">
        <v>294.25</v>
      </c>
      <c r="I58" s="2" t="s">
        <v>1326</v>
      </c>
      <c r="J58" s="2">
        <v>3.589</v>
      </c>
      <c r="K58" s="2">
        <v>0.71899999999999997</v>
      </c>
      <c r="L58" s="2">
        <v>0.71679999999999999</v>
      </c>
      <c r="M58" s="2">
        <v>0.2109</v>
      </c>
      <c r="N58" s="2" t="s">
        <v>30</v>
      </c>
      <c r="O58" s="2" t="s">
        <v>1319</v>
      </c>
      <c r="P58" s="2" t="s">
        <v>1297</v>
      </c>
    </row>
    <row r="59" spans="1:16" ht="24" x14ac:dyDescent="0.25">
      <c r="A59" s="3">
        <v>56</v>
      </c>
      <c r="B59" s="3">
        <v>2023</v>
      </c>
      <c r="C59" s="3" t="s">
        <v>46</v>
      </c>
      <c r="D59" s="3" t="s">
        <v>109</v>
      </c>
      <c r="E59" s="3" t="s">
        <v>88</v>
      </c>
      <c r="F59" s="3" t="s">
        <v>1289</v>
      </c>
      <c r="G59" s="3" t="s">
        <v>1310</v>
      </c>
      <c r="H59" s="3">
        <v>848.5</v>
      </c>
      <c r="I59" s="3" t="s">
        <v>1304</v>
      </c>
      <c r="J59" s="3">
        <v>1.3340000000000001</v>
      </c>
      <c r="K59" s="3">
        <v>0.35289999999999999</v>
      </c>
      <c r="L59" s="3">
        <v>0.1308</v>
      </c>
      <c r="M59" s="3">
        <v>0.111</v>
      </c>
      <c r="N59" s="3" t="s">
        <v>30</v>
      </c>
      <c r="O59" s="3" t="s">
        <v>1312</v>
      </c>
      <c r="P59" s="3" t="s">
        <v>1297</v>
      </c>
    </row>
    <row r="60" spans="1:16" ht="24" x14ac:dyDescent="0.25">
      <c r="A60" s="2">
        <v>57</v>
      </c>
      <c r="B60" s="2">
        <v>2023</v>
      </c>
      <c r="C60" s="2" t="s">
        <v>22</v>
      </c>
      <c r="D60" s="2" t="s">
        <v>102</v>
      </c>
      <c r="E60" s="2" t="s">
        <v>65</v>
      </c>
      <c r="F60" s="2" t="s">
        <v>1313</v>
      </c>
      <c r="G60" s="2" t="s">
        <v>1306</v>
      </c>
      <c r="H60" s="2">
        <v>186.97</v>
      </c>
      <c r="I60" s="2" t="s">
        <v>1326</v>
      </c>
      <c r="J60" s="2">
        <v>5.641</v>
      </c>
      <c r="K60" s="2">
        <v>0.4007</v>
      </c>
      <c r="L60" s="2">
        <v>0.62790000000000001</v>
      </c>
      <c r="M60" s="2">
        <v>0.1174</v>
      </c>
      <c r="N60" s="2" t="s">
        <v>30</v>
      </c>
      <c r="O60" s="2" t="s">
        <v>1315</v>
      </c>
      <c r="P60" s="2" t="s">
        <v>1293</v>
      </c>
    </row>
    <row r="61" spans="1:16" ht="24" x14ac:dyDescent="0.25">
      <c r="A61" s="3">
        <v>58</v>
      </c>
      <c r="B61" s="3">
        <v>2023</v>
      </c>
      <c r="C61" s="3" t="s">
        <v>32</v>
      </c>
      <c r="D61" s="3" t="s">
        <v>133</v>
      </c>
      <c r="E61" s="3" t="s">
        <v>65</v>
      </c>
      <c r="F61" s="3" t="s">
        <v>1302</v>
      </c>
      <c r="G61" s="3" t="s">
        <v>1328</v>
      </c>
      <c r="H61" s="3">
        <v>913.2</v>
      </c>
      <c r="I61" s="3" t="s">
        <v>1311</v>
      </c>
      <c r="J61" s="3">
        <v>0.6</v>
      </c>
      <c r="K61" s="3">
        <v>0.73470000000000002</v>
      </c>
      <c r="L61" s="3">
        <v>0.1225</v>
      </c>
      <c r="M61" s="3">
        <v>0.1119</v>
      </c>
      <c r="N61" s="3" t="s">
        <v>38</v>
      </c>
      <c r="O61" s="3" t="s">
        <v>1312</v>
      </c>
      <c r="P61" s="3" t="s">
        <v>52</v>
      </c>
    </row>
    <row r="62" spans="1:16" ht="24" x14ac:dyDescent="0.25">
      <c r="A62" s="2">
        <v>59</v>
      </c>
      <c r="B62" s="2">
        <v>2023</v>
      </c>
      <c r="C62" s="2" t="s">
        <v>39</v>
      </c>
      <c r="D62" s="2" t="s">
        <v>109</v>
      </c>
      <c r="E62" s="2" t="s">
        <v>154</v>
      </c>
      <c r="F62" s="2" t="s">
        <v>1302</v>
      </c>
      <c r="G62" s="2" t="s">
        <v>1295</v>
      </c>
      <c r="H62" s="2">
        <v>892.3</v>
      </c>
      <c r="I62" s="2" t="s">
        <v>1291</v>
      </c>
      <c r="J62" s="2">
        <v>8.2780000000000005</v>
      </c>
      <c r="K62" s="2">
        <v>0.48470000000000002</v>
      </c>
      <c r="L62" s="2">
        <v>1.1145</v>
      </c>
      <c r="M62" s="2">
        <v>0.99450000000000005</v>
      </c>
      <c r="N62" s="2" t="s">
        <v>38</v>
      </c>
      <c r="O62" s="2" t="s">
        <v>1315</v>
      </c>
      <c r="P62" s="2" t="s">
        <v>1293</v>
      </c>
    </row>
    <row r="63" spans="1:16" ht="24" x14ac:dyDescent="0.25">
      <c r="A63" s="3">
        <v>60</v>
      </c>
      <c r="B63" s="3">
        <v>2023</v>
      </c>
      <c r="C63" s="3" t="s">
        <v>46</v>
      </c>
      <c r="D63" s="3" t="s">
        <v>95</v>
      </c>
      <c r="E63" s="3" t="s">
        <v>117</v>
      </c>
      <c r="F63" s="3" t="s">
        <v>1325</v>
      </c>
      <c r="G63" s="3" t="s">
        <v>1295</v>
      </c>
      <c r="H63" s="3">
        <v>359.88</v>
      </c>
      <c r="I63" s="3" t="s">
        <v>1320</v>
      </c>
      <c r="J63" s="3">
        <v>13.122</v>
      </c>
      <c r="K63" s="3">
        <v>0.44919999999999999</v>
      </c>
      <c r="L63" s="3">
        <v>1.6373</v>
      </c>
      <c r="M63" s="3">
        <v>0.58919999999999995</v>
      </c>
      <c r="N63" s="3" t="s">
        <v>38</v>
      </c>
      <c r="O63" s="3" t="s">
        <v>1312</v>
      </c>
      <c r="P63" s="3" t="s">
        <v>1293</v>
      </c>
    </row>
    <row r="64" spans="1:16" ht="24" x14ac:dyDescent="0.25">
      <c r="A64" s="2">
        <v>61</v>
      </c>
      <c r="B64" s="2">
        <v>2023</v>
      </c>
      <c r="C64" s="2" t="s">
        <v>22</v>
      </c>
      <c r="D64" s="2" t="s">
        <v>133</v>
      </c>
      <c r="E64" s="2" t="s">
        <v>24</v>
      </c>
      <c r="F64" s="2" t="s">
        <v>1294</v>
      </c>
      <c r="G64" s="2" t="s">
        <v>1303</v>
      </c>
      <c r="H64" s="2">
        <v>161.15</v>
      </c>
      <c r="I64" s="2" t="s">
        <v>1326</v>
      </c>
      <c r="J64" s="2">
        <v>3.3849999999999998</v>
      </c>
      <c r="K64" s="2">
        <v>0.58960000000000001</v>
      </c>
      <c r="L64" s="2">
        <v>0.5544</v>
      </c>
      <c r="M64" s="2">
        <v>8.9300000000000004E-2</v>
      </c>
      <c r="N64" s="2" t="s">
        <v>38</v>
      </c>
      <c r="O64" s="2" t="s">
        <v>1296</v>
      </c>
      <c r="P64" s="2" t="s">
        <v>52</v>
      </c>
    </row>
    <row r="65" spans="1:16" ht="24" x14ac:dyDescent="0.25">
      <c r="A65" s="3">
        <v>62</v>
      </c>
      <c r="B65" s="3">
        <v>2023</v>
      </c>
      <c r="C65" s="3" t="s">
        <v>32</v>
      </c>
      <c r="D65" s="3" t="s">
        <v>47</v>
      </c>
      <c r="E65" s="3" t="s">
        <v>110</v>
      </c>
      <c r="F65" s="3" t="s">
        <v>1313</v>
      </c>
      <c r="G65" s="3" t="s">
        <v>1300</v>
      </c>
      <c r="H65" s="3">
        <v>751.34</v>
      </c>
      <c r="I65" s="3" t="s">
        <v>1307</v>
      </c>
      <c r="J65" s="3">
        <v>11.815</v>
      </c>
      <c r="K65" s="3">
        <v>0.54990000000000006</v>
      </c>
      <c r="L65" s="3">
        <v>1.8048</v>
      </c>
      <c r="M65" s="3">
        <v>1.3560000000000001</v>
      </c>
      <c r="N65" s="3" t="s">
        <v>30</v>
      </c>
      <c r="O65" s="3" t="s">
        <v>1296</v>
      </c>
      <c r="P65" s="3" t="s">
        <v>52</v>
      </c>
    </row>
    <row r="66" spans="1:16" ht="24" x14ac:dyDescent="0.25">
      <c r="A66" s="2">
        <v>63</v>
      </c>
      <c r="B66" s="2">
        <v>2023</v>
      </c>
      <c r="C66" s="2" t="s">
        <v>39</v>
      </c>
      <c r="D66" s="2" t="s">
        <v>40</v>
      </c>
      <c r="E66" s="2" t="s">
        <v>33</v>
      </c>
      <c r="F66" s="2" t="s">
        <v>1298</v>
      </c>
      <c r="G66" s="2" t="s">
        <v>1290</v>
      </c>
      <c r="H66" s="2">
        <v>500.5</v>
      </c>
      <c r="I66" s="2" t="s">
        <v>1320</v>
      </c>
      <c r="J66" s="2">
        <v>11.627000000000001</v>
      </c>
      <c r="K66" s="2">
        <v>0.46829999999999999</v>
      </c>
      <c r="L66" s="2">
        <v>1.5125</v>
      </c>
      <c r="M66" s="2">
        <v>0.75700000000000001</v>
      </c>
      <c r="N66" s="2" t="s">
        <v>38</v>
      </c>
      <c r="O66" s="2" t="s">
        <v>1301</v>
      </c>
      <c r="P66" s="2" t="s">
        <v>52</v>
      </c>
    </row>
    <row r="67" spans="1:16" ht="24" x14ac:dyDescent="0.25">
      <c r="A67" s="3">
        <v>64</v>
      </c>
      <c r="B67" s="3">
        <v>2023</v>
      </c>
      <c r="C67" s="3" t="s">
        <v>46</v>
      </c>
      <c r="D67" s="3" t="s">
        <v>138</v>
      </c>
      <c r="E67" s="3" t="s">
        <v>96</v>
      </c>
      <c r="F67" s="3" t="s">
        <v>1316</v>
      </c>
      <c r="G67" s="3" t="s">
        <v>1295</v>
      </c>
      <c r="H67" s="3">
        <v>486.44</v>
      </c>
      <c r="I67" s="3" t="s">
        <v>1318</v>
      </c>
      <c r="J67" s="3">
        <v>11.532999999999999</v>
      </c>
      <c r="K67" s="3">
        <v>0.47389999999999999</v>
      </c>
      <c r="L67" s="3">
        <v>1.5182</v>
      </c>
      <c r="M67" s="3">
        <v>0.73850000000000005</v>
      </c>
      <c r="N67" s="3" t="s">
        <v>38</v>
      </c>
      <c r="O67" s="3" t="s">
        <v>1321</v>
      </c>
      <c r="P67" s="3" t="s">
        <v>52</v>
      </c>
    </row>
    <row r="68" spans="1:16" ht="24" x14ac:dyDescent="0.25">
      <c r="A68" s="2">
        <v>65</v>
      </c>
      <c r="B68" s="2">
        <v>2023</v>
      </c>
      <c r="C68" s="2" t="s">
        <v>22</v>
      </c>
      <c r="D68" s="2" t="s">
        <v>95</v>
      </c>
      <c r="E68" s="2" t="s">
        <v>204</v>
      </c>
      <c r="F68" s="2" t="s">
        <v>1313</v>
      </c>
      <c r="G68" s="2" t="s">
        <v>1306</v>
      </c>
      <c r="H68" s="2">
        <v>994.26</v>
      </c>
      <c r="I68" s="2" t="s">
        <v>1323</v>
      </c>
      <c r="J68" s="2">
        <v>4.0869999999999997</v>
      </c>
      <c r="K68" s="2">
        <v>0.76029999999999998</v>
      </c>
      <c r="L68" s="2">
        <v>0.86319999999999997</v>
      </c>
      <c r="M68" s="2">
        <v>0.85819999999999996</v>
      </c>
      <c r="N68" s="2" t="s">
        <v>30</v>
      </c>
      <c r="O68" s="2" t="s">
        <v>41</v>
      </c>
      <c r="P68" s="2" t="s">
        <v>1297</v>
      </c>
    </row>
    <row r="69" spans="1:16" ht="24" x14ac:dyDescent="0.25">
      <c r="A69" s="3">
        <v>66</v>
      </c>
      <c r="B69" s="3">
        <v>2023</v>
      </c>
      <c r="C69" s="3" t="s">
        <v>32</v>
      </c>
      <c r="D69" s="3" t="s">
        <v>47</v>
      </c>
      <c r="E69" s="3" t="s">
        <v>120</v>
      </c>
      <c r="F69" s="3" t="s">
        <v>1289</v>
      </c>
      <c r="G69" s="3" t="s">
        <v>1299</v>
      </c>
      <c r="H69" s="3">
        <v>629.28</v>
      </c>
      <c r="I69" s="3" t="s">
        <v>1291</v>
      </c>
      <c r="J69" s="3">
        <v>2.657</v>
      </c>
      <c r="K69" s="3">
        <v>0.41020000000000001</v>
      </c>
      <c r="L69" s="3">
        <v>0.30280000000000001</v>
      </c>
      <c r="M69" s="3">
        <v>0.1905</v>
      </c>
      <c r="N69" s="3" t="s">
        <v>38</v>
      </c>
      <c r="O69" s="3" t="s">
        <v>1292</v>
      </c>
      <c r="P69" s="3" t="s">
        <v>1297</v>
      </c>
    </row>
    <row r="70" spans="1:16" ht="24" x14ac:dyDescent="0.25">
      <c r="A70" s="2">
        <v>67</v>
      </c>
      <c r="B70" s="2">
        <v>2023</v>
      </c>
      <c r="C70" s="2" t="s">
        <v>39</v>
      </c>
      <c r="D70" s="2" t="s">
        <v>252</v>
      </c>
      <c r="E70" s="2" t="s">
        <v>117</v>
      </c>
      <c r="F70" s="2" t="s">
        <v>1305</v>
      </c>
      <c r="G70" s="2" t="s">
        <v>1299</v>
      </c>
      <c r="H70" s="2">
        <v>200.44</v>
      </c>
      <c r="I70" s="2" t="s">
        <v>1311</v>
      </c>
      <c r="J70" s="2">
        <v>13.032999999999999</v>
      </c>
      <c r="K70" s="2">
        <v>0.54020000000000001</v>
      </c>
      <c r="L70" s="2">
        <v>1.9557</v>
      </c>
      <c r="M70" s="2">
        <v>0.39200000000000002</v>
      </c>
      <c r="N70" s="2" t="s">
        <v>38</v>
      </c>
      <c r="O70" s="2" t="s">
        <v>1319</v>
      </c>
      <c r="P70" s="2" t="s">
        <v>1293</v>
      </c>
    </row>
    <row r="71" spans="1:16" ht="24" x14ac:dyDescent="0.25">
      <c r="A71" s="3">
        <v>68</v>
      </c>
      <c r="B71" s="3">
        <v>2023</v>
      </c>
      <c r="C71" s="3" t="s">
        <v>46</v>
      </c>
      <c r="D71" s="3" t="s">
        <v>133</v>
      </c>
      <c r="E71" s="3" t="s">
        <v>88</v>
      </c>
      <c r="F71" s="3" t="s">
        <v>1289</v>
      </c>
      <c r="G71" s="3" t="s">
        <v>1310</v>
      </c>
      <c r="H71" s="3">
        <v>510.35</v>
      </c>
      <c r="I71" s="3" t="s">
        <v>1320</v>
      </c>
      <c r="J71" s="3">
        <v>9.8360000000000003</v>
      </c>
      <c r="K71" s="3">
        <v>0.50209999999999999</v>
      </c>
      <c r="L71" s="3">
        <v>1.3718999999999999</v>
      </c>
      <c r="M71" s="3">
        <v>0.70009999999999994</v>
      </c>
      <c r="N71" s="3" t="s">
        <v>30</v>
      </c>
      <c r="O71" s="3" t="s">
        <v>1312</v>
      </c>
      <c r="P71" s="3" t="s">
        <v>1293</v>
      </c>
    </row>
    <row r="72" spans="1:16" ht="24" x14ac:dyDescent="0.25">
      <c r="A72" s="2">
        <v>69</v>
      </c>
      <c r="B72" s="2">
        <v>2023</v>
      </c>
      <c r="C72" s="2" t="s">
        <v>22</v>
      </c>
      <c r="D72" s="2" t="s">
        <v>40</v>
      </c>
      <c r="E72" s="2" t="s">
        <v>65</v>
      </c>
      <c r="F72" s="2" t="s">
        <v>1289</v>
      </c>
      <c r="G72" s="2" t="s">
        <v>1303</v>
      </c>
      <c r="H72" s="2">
        <v>182.57</v>
      </c>
      <c r="I72" s="2" t="s">
        <v>1324</v>
      </c>
      <c r="J72" s="2">
        <v>0.50800000000000001</v>
      </c>
      <c r="K72" s="2">
        <v>0.68020000000000003</v>
      </c>
      <c r="L72" s="2">
        <v>9.6000000000000002E-2</v>
      </c>
      <c r="M72" s="2">
        <v>1.7500000000000002E-2</v>
      </c>
      <c r="N72" s="2" t="s">
        <v>38</v>
      </c>
      <c r="O72" s="2" t="s">
        <v>1321</v>
      </c>
      <c r="P72" s="2" t="s">
        <v>52</v>
      </c>
    </row>
    <row r="73" spans="1:16" ht="24" x14ac:dyDescent="0.25">
      <c r="A73" s="3">
        <v>70</v>
      </c>
      <c r="B73" s="3">
        <v>2023</v>
      </c>
      <c r="C73" s="3" t="s">
        <v>32</v>
      </c>
      <c r="D73" s="3" t="s">
        <v>159</v>
      </c>
      <c r="E73" s="3" t="s">
        <v>24</v>
      </c>
      <c r="F73" s="3" t="s">
        <v>1313</v>
      </c>
      <c r="G73" s="3" t="s">
        <v>1290</v>
      </c>
      <c r="H73" s="3">
        <v>185.66</v>
      </c>
      <c r="I73" s="3" t="s">
        <v>1326</v>
      </c>
      <c r="J73" s="3">
        <v>14.250999999999999</v>
      </c>
      <c r="K73" s="3">
        <v>0.53180000000000005</v>
      </c>
      <c r="L73" s="3">
        <v>2.1052</v>
      </c>
      <c r="M73" s="3">
        <v>0.39090000000000003</v>
      </c>
      <c r="N73" s="3" t="s">
        <v>30</v>
      </c>
      <c r="O73" s="3" t="s">
        <v>1312</v>
      </c>
      <c r="P73" s="3" t="s">
        <v>52</v>
      </c>
    </row>
    <row r="74" spans="1:16" ht="24" x14ac:dyDescent="0.25">
      <c r="A74" s="2">
        <v>71</v>
      </c>
      <c r="B74" s="2">
        <v>2023</v>
      </c>
      <c r="C74" s="2" t="s">
        <v>39</v>
      </c>
      <c r="D74" s="2" t="s">
        <v>252</v>
      </c>
      <c r="E74" s="2" t="s">
        <v>58</v>
      </c>
      <c r="F74" s="2" t="s">
        <v>1309</v>
      </c>
      <c r="G74" s="2" t="s">
        <v>1299</v>
      </c>
      <c r="H74" s="2">
        <v>741.55</v>
      </c>
      <c r="I74" s="2" t="s">
        <v>1324</v>
      </c>
      <c r="J74" s="2">
        <v>5.74</v>
      </c>
      <c r="K74" s="2">
        <v>0.73939999999999995</v>
      </c>
      <c r="L74" s="2">
        <v>1.1789000000000001</v>
      </c>
      <c r="M74" s="2">
        <v>0.87419999999999998</v>
      </c>
      <c r="N74" s="2" t="s">
        <v>30</v>
      </c>
      <c r="O74" s="2" t="s">
        <v>1315</v>
      </c>
      <c r="P74" s="2" t="s">
        <v>1293</v>
      </c>
    </row>
    <row r="75" spans="1:16" ht="24" x14ac:dyDescent="0.25">
      <c r="A75" s="3">
        <v>72</v>
      </c>
      <c r="B75" s="3">
        <v>2023</v>
      </c>
      <c r="C75" s="3" t="s">
        <v>46</v>
      </c>
      <c r="D75" s="3" t="s">
        <v>84</v>
      </c>
      <c r="E75" s="3" t="s">
        <v>120</v>
      </c>
      <c r="F75" s="3" t="s">
        <v>1298</v>
      </c>
      <c r="G75" s="3" t="s">
        <v>1299</v>
      </c>
      <c r="H75" s="3">
        <v>887.31</v>
      </c>
      <c r="I75" s="3" t="s">
        <v>1318</v>
      </c>
      <c r="J75" s="3">
        <v>2.3919999999999999</v>
      </c>
      <c r="K75" s="3">
        <v>0.72130000000000005</v>
      </c>
      <c r="L75" s="3">
        <v>0.4793</v>
      </c>
      <c r="M75" s="3">
        <v>0.42530000000000001</v>
      </c>
      <c r="N75" s="3" t="s">
        <v>38</v>
      </c>
      <c r="O75" s="3" t="s">
        <v>1319</v>
      </c>
      <c r="P75" s="3" t="s">
        <v>1293</v>
      </c>
    </row>
    <row r="76" spans="1:16" ht="24" x14ac:dyDescent="0.25">
      <c r="A76" s="2">
        <v>73</v>
      </c>
      <c r="B76" s="2">
        <v>2023</v>
      </c>
      <c r="C76" s="2" t="s">
        <v>22</v>
      </c>
      <c r="D76" s="2" t="s">
        <v>102</v>
      </c>
      <c r="E76" s="2" t="s">
        <v>92</v>
      </c>
      <c r="F76" s="2" t="s">
        <v>1305</v>
      </c>
      <c r="G76" s="2" t="s">
        <v>1306</v>
      </c>
      <c r="H76" s="2">
        <v>75.8</v>
      </c>
      <c r="I76" s="2" t="s">
        <v>1291</v>
      </c>
      <c r="J76" s="2">
        <v>8.4250000000000007</v>
      </c>
      <c r="K76" s="2">
        <v>0.52139999999999997</v>
      </c>
      <c r="L76" s="2">
        <v>1.2202</v>
      </c>
      <c r="M76" s="2">
        <v>9.2499999999999999E-2</v>
      </c>
      <c r="N76" s="2" t="s">
        <v>30</v>
      </c>
      <c r="O76" s="2" t="s">
        <v>1296</v>
      </c>
      <c r="P76" s="2" t="s">
        <v>1293</v>
      </c>
    </row>
    <row r="77" spans="1:16" ht="24" x14ac:dyDescent="0.25">
      <c r="A77" s="3">
        <v>74</v>
      </c>
      <c r="B77" s="3">
        <v>2023</v>
      </c>
      <c r="C77" s="3" t="s">
        <v>32</v>
      </c>
      <c r="D77" s="3" t="s">
        <v>23</v>
      </c>
      <c r="E77" s="3" t="s">
        <v>88</v>
      </c>
      <c r="F77" s="3" t="s">
        <v>1309</v>
      </c>
      <c r="G77" s="3" t="s">
        <v>1303</v>
      </c>
      <c r="H77" s="3">
        <v>418.79</v>
      </c>
      <c r="I77" s="3" t="s">
        <v>1304</v>
      </c>
      <c r="J77" s="3">
        <v>10.818</v>
      </c>
      <c r="K77" s="3">
        <v>0.79579999999999995</v>
      </c>
      <c r="L77" s="3">
        <v>2.3914</v>
      </c>
      <c r="M77" s="3">
        <v>1.0015000000000001</v>
      </c>
      <c r="N77" s="3" t="s">
        <v>38</v>
      </c>
      <c r="O77" s="3" t="s">
        <v>1321</v>
      </c>
      <c r="P77" s="3" t="s">
        <v>52</v>
      </c>
    </row>
    <row r="78" spans="1:16" ht="24" x14ac:dyDescent="0.25">
      <c r="A78" s="2">
        <v>75</v>
      </c>
      <c r="B78" s="2">
        <v>2023</v>
      </c>
      <c r="C78" s="2" t="s">
        <v>39</v>
      </c>
      <c r="D78" s="2" t="s">
        <v>230</v>
      </c>
      <c r="E78" s="2" t="s">
        <v>110</v>
      </c>
      <c r="F78" s="2" t="s">
        <v>1298</v>
      </c>
      <c r="G78" s="2" t="s">
        <v>1317</v>
      </c>
      <c r="H78" s="2">
        <v>419.59</v>
      </c>
      <c r="I78" s="2" t="s">
        <v>1291</v>
      </c>
      <c r="J78" s="2">
        <v>14.004</v>
      </c>
      <c r="K78" s="2">
        <v>0.60189999999999999</v>
      </c>
      <c r="L78" s="2">
        <v>2.3414000000000001</v>
      </c>
      <c r="M78" s="2">
        <v>0.98240000000000005</v>
      </c>
      <c r="N78" s="2" t="s">
        <v>38</v>
      </c>
      <c r="O78" s="2" t="s">
        <v>1292</v>
      </c>
      <c r="P78" s="2" t="s">
        <v>1297</v>
      </c>
    </row>
    <row r="79" spans="1:16" ht="24" x14ac:dyDescent="0.25">
      <c r="A79" s="3">
        <v>76</v>
      </c>
      <c r="B79" s="3">
        <v>2023</v>
      </c>
      <c r="C79" s="3" t="s">
        <v>46</v>
      </c>
      <c r="D79" s="3" t="s">
        <v>47</v>
      </c>
      <c r="E79" s="3" t="s">
        <v>204</v>
      </c>
      <c r="F79" s="3" t="s">
        <v>1316</v>
      </c>
      <c r="G79" s="3" t="s">
        <v>1306</v>
      </c>
      <c r="H79" s="3">
        <v>61.73</v>
      </c>
      <c r="I79" s="3" t="s">
        <v>1304</v>
      </c>
      <c r="J79" s="3">
        <v>14.601000000000001</v>
      </c>
      <c r="K79" s="3">
        <v>0.4451</v>
      </c>
      <c r="L79" s="3">
        <v>1.8052999999999999</v>
      </c>
      <c r="M79" s="3">
        <v>0.1114</v>
      </c>
      <c r="N79" s="3" t="s">
        <v>30</v>
      </c>
      <c r="O79" s="3" t="s">
        <v>1319</v>
      </c>
      <c r="P79" s="3" t="s">
        <v>1297</v>
      </c>
    </row>
    <row r="80" spans="1:16" ht="24" x14ac:dyDescent="0.25">
      <c r="A80" s="2">
        <v>77</v>
      </c>
      <c r="B80" s="2">
        <v>2023</v>
      </c>
      <c r="C80" s="2" t="s">
        <v>22</v>
      </c>
      <c r="D80" s="2" t="s">
        <v>133</v>
      </c>
      <c r="E80" s="2" t="s">
        <v>65</v>
      </c>
      <c r="F80" s="2" t="s">
        <v>1322</v>
      </c>
      <c r="G80" s="2" t="s">
        <v>1290</v>
      </c>
      <c r="H80" s="2">
        <v>384.77</v>
      </c>
      <c r="I80" s="2" t="s">
        <v>1291</v>
      </c>
      <c r="J80" s="2">
        <v>11.801</v>
      </c>
      <c r="K80" s="2">
        <v>0.5504</v>
      </c>
      <c r="L80" s="2">
        <v>1.8043</v>
      </c>
      <c r="M80" s="2">
        <v>0.69420000000000004</v>
      </c>
      <c r="N80" s="2" t="s">
        <v>38</v>
      </c>
      <c r="O80" s="2" t="s">
        <v>41</v>
      </c>
      <c r="P80" s="2" t="s">
        <v>1297</v>
      </c>
    </row>
    <row r="81" spans="1:16" ht="24" x14ac:dyDescent="0.25">
      <c r="A81" s="3">
        <v>78</v>
      </c>
      <c r="B81" s="3">
        <v>2023</v>
      </c>
      <c r="C81" s="3" t="s">
        <v>32</v>
      </c>
      <c r="D81" s="3" t="s">
        <v>109</v>
      </c>
      <c r="E81" s="3" t="s">
        <v>139</v>
      </c>
      <c r="F81" s="3" t="s">
        <v>1316</v>
      </c>
      <c r="G81" s="3" t="s">
        <v>1317</v>
      </c>
      <c r="H81" s="3">
        <v>697.03</v>
      </c>
      <c r="I81" s="3" t="s">
        <v>1324</v>
      </c>
      <c r="J81" s="3">
        <v>13.247999999999999</v>
      </c>
      <c r="K81" s="3">
        <v>0.74529999999999996</v>
      </c>
      <c r="L81" s="3">
        <v>2.7427000000000001</v>
      </c>
      <c r="M81" s="3">
        <v>1.9117</v>
      </c>
      <c r="N81" s="3" t="s">
        <v>30</v>
      </c>
      <c r="O81" s="3" t="s">
        <v>1301</v>
      </c>
      <c r="P81" s="3" t="s">
        <v>1297</v>
      </c>
    </row>
    <row r="82" spans="1:16" ht="24" x14ac:dyDescent="0.25">
      <c r="A82" s="2">
        <v>79</v>
      </c>
      <c r="B82" s="2">
        <v>2023</v>
      </c>
      <c r="C82" s="2" t="s">
        <v>39</v>
      </c>
      <c r="D82" s="2" t="s">
        <v>23</v>
      </c>
      <c r="E82" s="2" t="s">
        <v>65</v>
      </c>
      <c r="F82" s="2" t="s">
        <v>1289</v>
      </c>
      <c r="G82" s="2" t="s">
        <v>1290</v>
      </c>
      <c r="H82" s="2">
        <v>269.25</v>
      </c>
      <c r="I82" s="2" t="s">
        <v>1291</v>
      </c>
      <c r="J82" s="2">
        <v>2.2269999999999999</v>
      </c>
      <c r="K82" s="2">
        <v>0.46200000000000002</v>
      </c>
      <c r="L82" s="2">
        <v>0.2858</v>
      </c>
      <c r="M82" s="2">
        <v>7.6999999999999999E-2</v>
      </c>
      <c r="N82" s="2" t="s">
        <v>38</v>
      </c>
      <c r="O82" s="2" t="s">
        <v>1296</v>
      </c>
      <c r="P82" s="2" t="s">
        <v>52</v>
      </c>
    </row>
    <row r="83" spans="1:16" ht="24" x14ac:dyDescent="0.25">
      <c r="A83" s="3">
        <v>80</v>
      </c>
      <c r="B83" s="3">
        <v>2023</v>
      </c>
      <c r="C83" s="3" t="s">
        <v>46</v>
      </c>
      <c r="D83" s="3" t="s">
        <v>95</v>
      </c>
      <c r="E83" s="3" t="s">
        <v>139</v>
      </c>
      <c r="F83" s="3" t="s">
        <v>1313</v>
      </c>
      <c r="G83" s="3" t="s">
        <v>1290</v>
      </c>
      <c r="H83" s="3">
        <v>873.51</v>
      </c>
      <c r="I83" s="3" t="s">
        <v>1311</v>
      </c>
      <c r="J83" s="3">
        <v>1.2470000000000001</v>
      </c>
      <c r="K83" s="3">
        <v>0.84</v>
      </c>
      <c r="L83" s="3">
        <v>0.29099999999999998</v>
      </c>
      <c r="M83" s="3">
        <v>0.25419999999999998</v>
      </c>
      <c r="N83" s="3" t="s">
        <v>38</v>
      </c>
      <c r="O83" s="3" t="s">
        <v>1312</v>
      </c>
      <c r="P83" s="3" t="s">
        <v>52</v>
      </c>
    </row>
    <row r="84" spans="1:16" ht="24" x14ac:dyDescent="0.25">
      <c r="A84" s="2">
        <v>81</v>
      </c>
      <c r="B84" s="2">
        <v>2023</v>
      </c>
      <c r="C84" s="2" t="s">
        <v>22</v>
      </c>
      <c r="D84" s="2" t="s">
        <v>138</v>
      </c>
      <c r="E84" s="2" t="s">
        <v>33</v>
      </c>
      <c r="F84" s="2" t="s">
        <v>1298</v>
      </c>
      <c r="G84" s="2" t="s">
        <v>1317</v>
      </c>
      <c r="H84" s="2">
        <v>84.16</v>
      </c>
      <c r="I84" s="2" t="s">
        <v>1311</v>
      </c>
      <c r="J84" s="2">
        <v>10.728999999999999</v>
      </c>
      <c r="K84" s="2">
        <v>0.62460000000000004</v>
      </c>
      <c r="L84" s="2">
        <v>1.8614999999999999</v>
      </c>
      <c r="M84" s="2">
        <v>0.15670000000000001</v>
      </c>
      <c r="N84" s="2" t="s">
        <v>30</v>
      </c>
      <c r="O84" s="2" t="s">
        <v>1292</v>
      </c>
      <c r="P84" s="2" t="s">
        <v>52</v>
      </c>
    </row>
    <row r="85" spans="1:16" ht="24" x14ac:dyDescent="0.25">
      <c r="A85" s="3">
        <v>82</v>
      </c>
      <c r="B85" s="3">
        <v>2023</v>
      </c>
      <c r="C85" s="3" t="s">
        <v>32</v>
      </c>
      <c r="D85" s="3" t="s">
        <v>230</v>
      </c>
      <c r="E85" s="3" t="s">
        <v>139</v>
      </c>
      <c r="F85" s="3" t="s">
        <v>1298</v>
      </c>
      <c r="G85" s="3" t="s">
        <v>1300</v>
      </c>
      <c r="H85" s="3">
        <v>220.06</v>
      </c>
      <c r="I85" s="3" t="s">
        <v>1320</v>
      </c>
      <c r="J85" s="3">
        <v>14.496</v>
      </c>
      <c r="K85" s="3">
        <v>0.43840000000000001</v>
      </c>
      <c r="L85" s="3">
        <v>1.7653000000000001</v>
      </c>
      <c r="M85" s="3">
        <v>0.38850000000000001</v>
      </c>
      <c r="N85" s="3" t="s">
        <v>38</v>
      </c>
      <c r="O85" s="3" t="s">
        <v>1301</v>
      </c>
      <c r="P85" s="3" t="s">
        <v>1297</v>
      </c>
    </row>
    <row r="86" spans="1:16" ht="24" x14ac:dyDescent="0.25">
      <c r="A86" s="2">
        <v>83</v>
      </c>
      <c r="B86" s="2">
        <v>2023</v>
      </c>
      <c r="C86" s="2" t="s">
        <v>39</v>
      </c>
      <c r="D86" s="2" t="s">
        <v>53</v>
      </c>
      <c r="E86" s="2" t="s">
        <v>88</v>
      </c>
      <c r="F86" s="2" t="s">
        <v>1289</v>
      </c>
      <c r="G86" s="2" t="s">
        <v>1299</v>
      </c>
      <c r="H86" s="2">
        <v>634.66999999999996</v>
      </c>
      <c r="I86" s="2" t="s">
        <v>1323</v>
      </c>
      <c r="J86" s="2">
        <v>8.4879999999999995</v>
      </c>
      <c r="K86" s="2">
        <v>0.75839999999999996</v>
      </c>
      <c r="L86" s="2">
        <v>1.7882</v>
      </c>
      <c r="M86" s="2">
        <v>1.1349</v>
      </c>
      <c r="N86" s="2" t="s">
        <v>38</v>
      </c>
      <c r="O86" s="2" t="s">
        <v>1315</v>
      </c>
      <c r="P86" s="2" t="s">
        <v>1293</v>
      </c>
    </row>
    <row r="87" spans="1:16" ht="24" x14ac:dyDescent="0.25">
      <c r="A87" s="3">
        <v>84</v>
      </c>
      <c r="B87" s="3">
        <v>2023</v>
      </c>
      <c r="C87" s="3" t="s">
        <v>46</v>
      </c>
      <c r="D87" s="3" t="s">
        <v>138</v>
      </c>
      <c r="E87" s="3" t="s">
        <v>70</v>
      </c>
      <c r="F87" s="3" t="s">
        <v>1302</v>
      </c>
      <c r="G87" s="3" t="s">
        <v>1300</v>
      </c>
      <c r="H87" s="3">
        <v>446.61</v>
      </c>
      <c r="I87" s="3" t="s">
        <v>1314</v>
      </c>
      <c r="J87" s="3">
        <v>11.082000000000001</v>
      </c>
      <c r="K87" s="3">
        <v>0.56699999999999995</v>
      </c>
      <c r="L87" s="3">
        <v>1.7454000000000001</v>
      </c>
      <c r="M87" s="3">
        <v>0.77949999999999997</v>
      </c>
      <c r="N87" s="3" t="s">
        <v>30</v>
      </c>
      <c r="O87" s="3" t="s">
        <v>1319</v>
      </c>
      <c r="P87" s="3" t="s">
        <v>1293</v>
      </c>
    </row>
    <row r="88" spans="1:16" ht="24" x14ac:dyDescent="0.25">
      <c r="A88" s="2">
        <v>85</v>
      </c>
      <c r="B88" s="2">
        <v>2023</v>
      </c>
      <c r="C88" s="2" t="s">
        <v>22</v>
      </c>
      <c r="D88" s="2" t="s">
        <v>183</v>
      </c>
      <c r="E88" s="2" t="s">
        <v>154</v>
      </c>
      <c r="F88" s="2" t="s">
        <v>1289</v>
      </c>
      <c r="G88" s="2" t="s">
        <v>1290</v>
      </c>
      <c r="H88" s="2">
        <v>815.78</v>
      </c>
      <c r="I88" s="2" t="s">
        <v>1324</v>
      </c>
      <c r="J88" s="2">
        <v>3.0539999999999998</v>
      </c>
      <c r="K88" s="2">
        <v>0.63480000000000003</v>
      </c>
      <c r="L88" s="2">
        <v>0.53849999999999998</v>
      </c>
      <c r="M88" s="2">
        <v>0.43930000000000002</v>
      </c>
      <c r="N88" s="2" t="s">
        <v>30</v>
      </c>
      <c r="O88" s="2" t="s">
        <v>1296</v>
      </c>
      <c r="P88" s="2" t="s">
        <v>52</v>
      </c>
    </row>
    <row r="89" spans="1:16" ht="24" x14ac:dyDescent="0.25">
      <c r="A89" s="3">
        <v>86</v>
      </c>
      <c r="B89" s="3">
        <v>2023</v>
      </c>
      <c r="C89" s="3" t="s">
        <v>32</v>
      </c>
      <c r="D89" s="3" t="s">
        <v>105</v>
      </c>
      <c r="E89" s="3" t="s">
        <v>65</v>
      </c>
      <c r="F89" s="3" t="s">
        <v>1302</v>
      </c>
      <c r="G89" s="3" t="s">
        <v>1328</v>
      </c>
      <c r="H89" s="3">
        <v>687.68</v>
      </c>
      <c r="I89" s="3" t="s">
        <v>1304</v>
      </c>
      <c r="J89" s="3">
        <v>3.2240000000000002</v>
      </c>
      <c r="K89" s="3">
        <v>0.42180000000000001</v>
      </c>
      <c r="L89" s="3">
        <v>0.37769999999999998</v>
      </c>
      <c r="M89" s="3">
        <v>0.25969999999999999</v>
      </c>
      <c r="N89" s="3" t="s">
        <v>38</v>
      </c>
      <c r="O89" s="3" t="s">
        <v>1308</v>
      </c>
      <c r="P89" s="3" t="s">
        <v>1293</v>
      </c>
    </row>
    <row r="90" spans="1:16" ht="24" x14ac:dyDescent="0.25">
      <c r="A90" s="2">
        <v>87</v>
      </c>
      <c r="B90" s="2">
        <v>2023</v>
      </c>
      <c r="C90" s="2" t="s">
        <v>39</v>
      </c>
      <c r="D90" s="2" t="s">
        <v>47</v>
      </c>
      <c r="E90" s="2" t="s">
        <v>33</v>
      </c>
      <c r="F90" s="2" t="s">
        <v>1325</v>
      </c>
      <c r="G90" s="2" t="s">
        <v>1300</v>
      </c>
      <c r="H90" s="2">
        <v>727.04</v>
      </c>
      <c r="I90" s="2" t="s">
        <v>1307</v>
      </c>
      <c r="J90" s="2">
        <v>12.215999999999999</v>
      </c>
      <c r="K90" s="2">
        <v>0.65159999999999996</v>
      </c>
      <c r="L90" s="2">
        <v>2.2111000000000001</v>
      </c>
      <c r="M90" s="2">
        <v>1.6075999999999999</v>
      </c>
      <c r="N90" s="2" t="s">
        <v>38</v>
      </c>
      <c r="O90" s="2" t="s">
        <v>1292</v>
      </c>
      <c r="P90" s="2" t="s">
        <v>1293</v>
      </c>
    </row>
    <row r="91" spans="1:16" ht="24" x14ac:dyDescent="0.25">
      <c r="A91" s="3">
        <v>88</v>
      </c>
      <c r="B91" s="3">
        <v>2023</v>
      </c>
      <c r="C91" s="3" t="s">
        <v>46</v>
      </c>
      <c r="D91" s="3" t="s">
        <v>87</v>
      </c>
      <c r="E91" s="3" t="s">
        <v>120</v>
      </c>
      <c r="F91" s="3" t="s">
        <v>1325</v>
      </c>
      <c r="G91" s="3" t="s">
        <v>1300</v>
      </c>
      <c r="H91" s="3">
        <v>249.09</v>
      </c>
      <c r="I91" s="3" t="s">
        <v>1326</v>
      </c>
      <c r="J91" s="3">
        <v>1.712</v>
      </c>
      <c r="K91" s="3">
        <v>0.42130000000000001</v>
      </c>
      <c r="L91" s="3">
        <v>0.20039999999999999</v>
      </c>
      <c r="M91" s="3">
        <v>4.99E-2</v>
      </c>
      <c r="N91" s="3" t="s">
        <v>38</v>
      </c>
      <c r="O91" s="3" t="s">
        <v>1312</v>
      </c>
      <c r="P91" s="3" t="s">
        <v>1297</v>
      </c>
    </row>
    <row r="92" spans="1:16" ht="24" x14ac:dyDescent="0.25">
      <c r="A92" s="2">
        <v>89</v>
      </c>
      <c r="B92" s="2">
        <v>2023</v>
      </c>
      <c r="C92" s="2" t="s">
        <v>22</v>
      </c>
      <c r="D92" s="2" t="s">
        <v>109</v>
      </c>
      <c r="E92" s="2" t="s">
        <v>54</v>
      </c>
      <c r="F92" s="2" t="s">
        <v>1322</v>
      </c>
      <c r="G92" s="2" t="s">
        <v>1317</v>
      </c>
      <c r="H92" s="2">
        <v>85.88</v>
      </c>
      <c r="I92" s="2" t="s">
        <v>1311</v>
      </c>
      <c r="J92" s="2">
        <v>2.5190000000000001</v>
      </c>
      <c r="K92" s="2">
        <v>0.7298</v>
      </c>
      <c r="L92" s="2">
        <v>0.51070000000000004</v>
      </c>
      <c r="M92" s="2">
        <v>4.3900000000000002E-2</v>
      </c>
      <c r="N92" s="2" t="s">
        <v>38</v>
      </c>
      <c r="O92" s="2" t="s">
        <v>1296</v>
      </c>
      <c r="P92" s="2" t="s">
        <v>1293</v>
      </c>
    </row>
    <row r="93" spans="1:16" ht="24" x14ac:dyDescent="0.25">
      <c r="A93" s="3">
        <v>90</v>
      </c>
      <c r="B93" s="3">
        <v>2023</v>
      </c>
      <c r="C93" s="3" t="s">
        <v>32</v>
      </c>
      <c r="D93" s="3" t="s">
        <v>84</v>
      </c>
      <c r="E93" s="3" t="s">
        <v>120</v>
      </c>
      <c r="F93" s="3" t="s">
        <v>1325</v>
      </c>
      <c r="G93" s="3" t="s">
        <v>1300</v>
      </c>
      <c r="H93" s="3">
        <v>56.82</v>
      </c>
      <c r="I93" s="3" t="s">
        <v>1326</v>
      </c>
      <c r="J93" s="3">
        <v>10.535</v>
      </c>
      <c r="K93" s="3">
        <v>0.66369999999999996</v>
      </c>
      <c r="L93" s="3">
        <v>1.9422999999999999</v>
      </c>
      <c r="M93" s="3">
        <v>0.1104</v>
      </c>
      <c r="N93" s="3" t="s">
        <v>38</v>
      </c>
      <c r="O93" s="3" t="s">
        <v>1321</v>
      </c>
      <c r="P93" s="3" t="s">
        <v>1297</v>
      </c>
    </row>
    <row r="94" spans="1:16" ht="24" x14ac:dyDescent="0.25">
      <c r="A94" s="2">
        <v>91</v>
      </c>
      <c r="B94" s="2">
        <v>2023</v>
      </c>
      <c r="C94" s="2" t="s">
        <v>39</v>
      </c>
      <c r="D94" s="2" t="s">
        <v>53</v>
      </c>
      <c r="E94" s="2" t="s">
        <v>120</v>
      </c>
      <c r="F94" s="2" t="s">
        <v>1305</v>
      </c>
      <c r="G94" s="2" t="s">
        <v>1328</v>
      </c>
      <c r="H94" s="2">
        <v>886.57</v>
      </c>
      <c r="I94" s="2" t="s">
        <v>1320</v>
      </c>
      <c r="J94" s="2">
        <v>6.5220000000000002</v>
      </c>
      <c r="K94" s="2">
        <v>0.35060000000000002</v>
      </c>
      <c r="L94" s="2">
        <v>0.63519999999999999</v>
      </c>
      <c r="M94" s="2">
        <v>0.56310000000000004</v>
      </c>
      <c r="N94" s="2" t="s">
        <v>30</v>
      </c>
      <c r="O94" s="2" t="s">
        <v>1312</v>
      </c>
      <c r="P94" s="2" t="s">
        <v>1297</v>
      </c>
    </row>
    <row r="95" spans="1:16" ht="24" x14ac:dyDescent="0.25">
      <c r="A95" s="3">
        <v>92</v>
      </c>
      <c r="B95" s="3">
        <v>2023</v>
      </c>
      <c r="C95" s="3" t="s">
        <v>46</v>
      </c>
      <c r="D95" s="3" t="s">
        <v>84</v>
      </c>
      <c r="E95" s="3" t="s">
        <v>204</v>
      </c>
      <c r="F95" s="3" t="s">
        <v>1322</v>
      </c>
      <c r="G95" s="3" t="s">
        <v>1300</v>
      </c>
      <c r="H95" s="3">
        <v>287.56</v>
      </c>
      <c r="I95" s="3" t="s">
        <v>1318</v>
      </c>
      <c r="J95" s="3">
        <v>13.865</v>
      </c>
      <c r="K95" s="3">
        <v>0.69220000000000004</v>
      </c>
      <c r="L95" s="3">
        <v>2.6659999999999999</v>
      </c>
      <c r="M95" s="3">
        <v>0.76659999999999995</v>
      </c>
      <c r="N95" s="3" t="s">
        <v>30</v>
      </c>
      <c r="O95" s="3" t="s">
        <v>1301</v>
      </c>
      <c r="P95" s="3" t="s">
        <v>52</v>
      </c>
    </row>
    <row r="96" spans="1:16" ht="24" x14ac:dyDescent="0.25">
      <c r="A96" s="2">
        <v>93</v>
      </c>
      <c r="B96" s="2">
        <v>2023</v>
      </c>
      <c r="C96" s="2" t="s">
        <v>22</v>
      </c>
      <c r="D96" s="2" t="s">
        <v>57</v>
      </c>
      <c r="E96" s="2" t="s">
        <v>70</v>
      </c>
      <c r="F96" s="2" t="s">
        <v>1325</v>
      </c>
      <c r="G96" s="2" t="s">
        <v>1327</v>
      </c>
      <c r="H96" s="2">
        <v>77.209999999999994</v>
      </c>
      <c r="I96" s="2" t="s">
        <v>1291</v>
      </c>
      <c r="J96" s="2">
        <v>5.3390000000000004</v>
      </c>
      <c r="K96" s="2">
        <v>0.5302</v>
      </c>
      <c r="L96" s="2">
        <v>0.7863</v>
      </c>
      <c r="M96" s="2">
        <v>6.0699999999999997E-2</v>
      </c>
      <c r="N96" s="2" t="s">
        <v>30</v>
      </c>
      <c r="O96" s="2" t="s">
        <v>1315</v>
      </c>
      <c r="P96" s="2" t="s">
        <v>1297</v>
      </c>
    </row>
    <row r="97" spans="1:16" ht="24" x14ac:dyDescent="0.25">
      <c r="A97" s="3">
        <v>94</v>
      </c>
      <c r="B97" s="3">
        <v>2023</v>
      </c>
      <c r="C97" s="3" t="s">
        <v>32</v>
      </c>
      <c r="D97" s="3" t="s">
        <v>159</v>
      </c>
      <c r="E97" s="3" t="s">
        <v>58</v>
      </c>
      <c r="F97" s="3" t="s">
        <v>1289</v>
      </c>
      <c r="G97" s="3" t="s">
        <v>1310</v>
      </c>
      <c r="H97" s="3">
        <v>335.51</v>
      </c>
      <c r="I97" s="3" t="s">
        <v>1304</v>
      </c>
      <c r="J97" s="3">
        <v>3.13</v>
      </c>
      <c r="K97" s="3">
        <v>0.56259999999999999</v>
      </c>
      <c r="L97" s="3">
        <v>0.48920000000000002</v>
      </c>
      <c r="M97" s="3">
        <v>0.1641</v>
      </c>
      <c r="N97" s="3" t="s">
        <v>38</v>
      </c>
      <c r="O97" s="3" t="s">
        <v>1319</v>
      </c>
      <c r="P97" s="3" t="s">
        <v>1297</v>
      </c>
    </row>
    <row r="98" spans="1:16" ht="24" x14ac:dyDescent="0.25">
      <c r="A98" s="2">
        <v>95</v>
      </c>
      <c r="B98" s="2">
        <v>2023</v>
      </c>
      <c r="C98" s="2" t="s">
        <v>39</v>
      </c>
      <c r="D98" s="2" t="s">
        <v>57</v>
      </c>
      <c r="E98" s="2" t="s">
        <v>92</v>
      </c>
      <c r="F98" s="2" t="s">
        <v>1325</v>
      </c>
      <c r="G98" s="2" t="s">
        <v>1295</v>
      </c>
      <c r="H98" s="2">
        <v>369.74</v>
      </c>
      <c r="I98" s="2" t="s">
        <v>1291</v>
      </c>
      <c r="J98" s="2">
        <v>4.3479999999999999</v>
      </c>
      <c r="K98" s="2">
        <v>0.80349999999999999</v>
      </c>
      <c r="L98" s="2">
        <v>0.97050000000000003</v>
      </c>
      <c r="M98" s="2">
        <v>0.35880000000000001</v>
      </c>
      <c r="N98" s="2" t="s">
        <v>38</v>
      </c>
      <c r="O98" s="2" t="s">
        <v>1296</v>
      </c>
      <c r="P98" s="2" t="s">
        <v>52</v>
      </c>
    </row>
    <row r="99" spans="1:16" ht="24" x14ac:dyDescent="0.25">
      <c r="A99" s="3">
        <v>96</v>
      </c>
      <c r="B99" s="3">
        <v>2023</v>
      </c>
      <c r="C99" s="3" t="s">
        <v>46</v>
      </c>
      <c r="D99" s="3" t="s">
        <v>57</v>
      </c>
      <c r="E99" s="3" t="s">
        <v>24</v>
      </c>
      <c r="F99" s="3" t="s">
        <v>1298</v>
      </c>
      <c r="G99" s="3" t="s">
        <v>1328</v>
      </c>
      <c r="H99" s="3">
        <v>447.25</v>
      </c>
      <c r="I99" s="3" t="s">
        <v>1324</v>
      </c>
      <c r="J99" s="3">
        <v>12.054</v>
      </c>
      <c r="K99" s="3">
        <v>0.83819999999999995</v>
      </c>
      <c r="L99" s="3">
        <v>2.8066</v>
      </c>
      <c r="M99" s="3">
        <v>1.2553000000000001</v>
      </c>
      <c r="N99" s="3" t="s">
        <v>30</v>
      </c>
      <c r="O99" s="3" t="s">
        <v>1321</v>
      </c>
      <c r="P99" s="3" t="s">
        <v>52</v>
      </c>
    </row>
    <row r="100" spans="1:16" ht="24" x14ac:dyDescent="0.25">
      <c r="A100" s="2">
        <v>97</v>
      </c>
      <c r="B100" s="2">
        <v>2023</v>
      </c>
      <c r="C100" s="2" t="s">
        <v>22</v>
      </c>
      <c r="D100" s="2" t="s">
        <v>40</v>
      </c>
      <c r="E100" s="2" t="s">
        <v>204</v>
      </c>
      <c r="F100" s="2" t="s">
        <v>1294</v>
      </c>
      <c r="G100" s="2" t="s">
        <v>1303</v>
      </c>
      <c r="H100" s="2">
        <v>994.78</v>
      </c>
      <c r="I100" s="2" t="s">
        <v>1320</v>
      </c>
      <c r="J100" s="2">
        <v>3.137</v>
      </c>
      <c r="K100" s="2">
        <v>0.54249999999999998</v>
      </c>
      <c r="L100" s="2">
        <v>0.47270000000000001</v>
      </c>
      <c r="M100" s="2">
        <v>0.47020000000000001</v>
      </c>
      <c r="N100" s="2" t="s">
        <v>38</v>
      </c>
      <c r="O100" s="2" t="s">
        <v>1312</v>
      </c>
      <c r="P100" s="2" t="s">
        <v>1293</v>
      </c>
    </row>
    <row r="101" spans="1:16" ht="24" x14ac:dyDescent="0.25">
      <c r="A101" s="3">
        <v>98</v>
      </c>
      <c r="B101" s="3">
        <v>2023</v>
      </c>
      <c r="C101" s="3" t="s">
        <v>32</v>
      </c>
      <c r="D101" s="3" t="s">
        <v>105</v>
      </c>
      <c r="E101" s="3" t="s">
        <v>139</v>
      </c>
      <c r="F101" s="3" t="s">
        <v>1302</v>
      </c>
      <c r="G101" s="3" t="s">
        <v>1306</v>
      </c>
      <c r="H101" s="3">
        <v>802.34</v>
      </c>
      <c r="I101" s="3" t="s">
        <v>1326</v>
      </c>
      <c r="J101" s="3">
        <v>9.9819999999999993</v>
      </c>
      <c r="K101" s="3">
        <v>0.47299999999999998</v>
      </c>
      <c r="L101" s="3">
        <v>1.3115000000000001</v>
      </c>
      <c r="M101" s="3">
        <v>1.0523</v>
      </c>
      <c r="N101" s="3" t="s">
        <v>38</v>
      </c>
      <c r="O101" s="3" t="s">
        <v>1308</v>
      </c>
      <c r="P101" s="3" t="s">
        <v>1297</v>
      </c>
    </row>
    <row r="102" spans="1:16" ht="24" x14ac:dyDescent="0.25">
      <c r="A102" s="2">
        <v>99</v>
      </c>
      <c r="B102" s="2">
        <v>2023</v>
      </c>
      <c r="C102" s="2" t="s">
        <v>39</v>
      </c>
      <c r="D102" s="2" t="s">
        <v>105</v>
      </c>
      <c r="E102" s="2" t="s">
        <v>139</v>
      </c>
      <c r="F102" s="2" t="s">
        <v>1298</v>
      </c>
      <c r="G102" s="2" t="s">
        <v>1299</v>
      </c>
      <c r="H102" s="2">
        <v>821.58</v>
      </c>
      <c r="I102" s="2" t="s">
        <v>1304</v>
      </c>
      <c r="J102" s="2">
        <v>6.077</v>
      </c>
      <c r="K102" s="2">
        <v>0.64049999999999996</v>
      </c>
      <c r="L102" s="2">
        <v>1.0811999999999999</v>
      </c>
      <c r="M102" s="2">
        <v>0.88829999999999998</v>
      </c>
      <c r="N102" s="2" t="s">
        <v>30</v>
      </c>
      <c r="O102" s="2" t="s">
        <v>1312</v>
      </c>
      <c r="P102" s="2" t="s">
        <v>1293</v>
      </c>
    </row>
    <row r="103" spans="1:16" ht="24" x14ac:dyDescent="0.25">
      <c r="A103" s="3">
        <v>100</v>
      </c>
      <c r="B103" s="3">
        <v>2023</v>
      </c>
      <c r="C103" s="3" t="s">
        <v>46</v>
      </c>
      <c r="D103" s="3" t="s">
        <v>102</v>
      </c>
      <c r="E103" s="3" t="s">
        <v>110</v>
      </c>
      <c r="F103" s="3" t="s">
        <v>1313</v>
      </c>
      <c r="G103" s="3" t="s">
        <v>1290</v>
      </c>
      <c r="H103" s="3">
        <v>204.08</v>
      </c>
      <c r="I103" s="3" t="s">
        <v>1311</v>
      </c>
      <c r="J103" s="3">
        <v>12.834</v>
      </c>
      <c r="K103" s="3">
        <v>0.53120000000000001</v>
      </c>
      <c r="L103" s="3">
        <v>1.8936999999999999</v>
      </c>
      <c r="M103" s="3">
        <v>0.38650000000000001</v>
      </c>
      <c r="N103" s="3" t="s">
        <v>38</v>
      </c>
      <c r="O103" s="3" t="s">
        <v>1296</v>
      </c>
      <c r="P103" s="3" t="s">
        <v>52</v>
      </c>
    </row>
  </sheetData>
  <autoFilter ref="A3:P3" xr:uid="{00000000-0009-0000-0000-000009000000}"/>
  <mergeCells count="2">
    <mergeCell ref="A1:P1"/>
    <mergeCell ref="A2:P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AD47"/>
  </sheetPr>
  <dimension ref="A1:S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19" width="18" customWidth="1"/>
  </cols>
  <sheetData>
    <row r="1" spans="1:19" ht="28.15" customHeight="1" x14ac:dyDescent="0.25">
      <c r="A1" s="27" t="s">
        <v>1329</v>
      </c>
      <c r="B1" s="28"/>
      <c r="C1" s="28"/>
      <c r="D1" s="28"/>
      <c r="E1" s="28"/>
      <c r="F1" s="28"/>
      <c r="G1" s="28"/>
      <c r="H1" s="28"/>
      <c r="I1" s="28"/>
      <c r="J1" s="28"/>
      <c r="K1" s="28"/>
      <c r="L1" s="28"/>
      <c r="M1" s="28"/>
      <c r="N1" s="28"/>
      <c r="O1" s="28"/>
      <c r="P1" s="28"/>
    </row>
    <row r="2" spans="1:19" ht="18" customHeight="1" x14ac:dyDescent="0.25">
      <c r="A2" s="29" t="s">
        <v>1</v>
      </c>
      <c r="B2" s="28"/>
      <c r="C2" s="28"/>
      <c r="D2" s="28"/>
      <c r="E2" s="28"/>
      <c r="F2" s="28"/>
      <c r="G2" s="28"/>
      <c r="H2" s="28"/>
      <c r="I2" s="28"/>
      <c r="J2" s="28"/>
      <c r="K2" s="28"/>
      <c r="L2" s="28"/>
      <c r="M2" s="28"/>
      <c r="N2" s="28"/>
      <c r="O2" s="28"/>
      <c r="P2" s="28"/>
    </row>
    <row r="3" spans="1:19" ht="38.25" x14ac:dyDescent="0.25">
      <c r="A3" s="1" t="s">
        <v>2</v>
      </c>
      <c r="B3" s="1" t="s">
        <v>3</v>
      </c>
      <c r="C3" s="1" t="s">
        <v>531</v>
      </c>
      <c r="D3" s="1" t="s">
        <v>1330</v>
      </c>
      <c r="E3" s="1" t="s">
        <v>1331</v>
      </c>
      <c r="F3" s="1" t="s">
        <v>1332</v>
      </c>
      <c r="G3" s="1" t="s">
        <v>1333</v>
      </c>
      <c r="H3" s="1" t="s">
        <v>1334</v>
      </c>
      <c r="I3" s="1" t="s">
        <v>1335</v>
      </c>
      <c r="J3" s="1" t="s">
        <v>1336</v>
      </c>
      <c r="K3" s="1" t="s">
        <v>496</v>
      </c>
      <c r="L3" s="1" t="s">
        <v>1337</v>
      </c>
      <c r="M3" s="1" t="s">
        <v>1338</v>
      </c>
      <c r="N3" s="1" t="s">
        <v>1339</v>
      </c>
      <c r="O3" s="1" t="s">
        <v>1340</v>
      </c>
      <c r="P3" s="1" t="s">
        <v>1341</v>
      </c>
      <c r="Q3" s="1" t="s">
        <v>1342</v>
      </c>
      <c r="R3" s="1" t="s">
        <v>1343</v>
      </c>
      <c r="S3" s="1" t="s">
        <v>540</v>
      </c>
    </row>
    <row r="4" spans="1:19" x14ac:dyDescent="0.25">
      <c r="A4" s="2">
        <v>1</v>
      </c>
      <c r="B4" s="2">
        <v>2023</v>
      </c>
      <c r="C4" s="2" t="s">
        <v>525</v>
      </c>
      <c r="D4" s="2" t="s">
        <v>1344</v>
      </c>
      <c r="E4" s="2">
        <v>9546</v>
      </c>
      <c r="F4" s="2">
        <v>8</v>
      </c>
      <c r="G4" s="2">
        <v>0</v>
      </c>
      <c r="H4" s="2">
        <v>0</v>
      </c>
      <c r="I4" s="2">
        <v>1200</v>
      </c>
      <c r="J4" s="2" t="s">
        <v>514</v>
      </c>
      <c r="K4" s="2">
        <v>0.74260000000000004</v>
      </c>
      <c r="L4" s="2">
        <v>2.7069999999999999</v>
      </c>
      <c r="M4" s="2">
        <v>0</v>
      </c>
      <c r="N4" s="2">
        <v>25987.200000000001</v>
      </c>
      <c r="O4" s="2">
        <v>0</v>
      </c>
      <c r="P4" s="2">
        <v>248073.81</v>
      </c>
      <c r="Q4" s="2">
        <v>248073.81</v>
      </c>
      <c r="R4" s="2" t="s">
        <v>1345</v>
      </c>
      <c r="S4" s="2" t="s">
        <v>1346</v>
      </c>
    </row>
    <row r="5" spans="1:19" x14ac:dyDescent="0.25">
      <c r="A5" s="3">
        <v>2</v>
      </c>
      <c r="B5" s="3">
        <v>2023</v>
      </c>
      <c r="C5" s="3" t="s">
        <v>1347</v>
      </c>
      <c r="D5" s="3" t="s">
        <v>1348</v>
      </c>
      <c r="E5" s="3">
        <v>3761</v>
      </c>
      <c r="F5" s="3">
        <v>12</v>
      </c>
      <c r="G5" s="3">
        <v>2000</v>
      </c>
      <c r="H5" s="3">
        <v>24000</v>
      </c>
      <c r="I5" s="3">
        <v>0</v>
      </c>
      <c r="J5" s="3" t="s">
        <v>740</v>
      </c>
      <c r="K5" s="3">
        <v>0.70109999999999995</v>
      </c>
      <c r="L5" s="3">
        <v>2.2290000000000001</v>
      </c>
      <c r="M5" s="3">
        <v>16826.400000000001</v>
      </c>
      <c r="N5" s="3">
        <v>0</v>
      </c>
      <c r="O5" s="3">
        <v>63284.09</v>
      </c>
      <c r="P5" s="3">
        <v>0</v>
      </c>
      <c r="Q5" s="3">
        <v>63284.09</v>
      </c>
      <c r="R5" s="3" t="s">
        <v>1349</v>
      </c>
      <c r="S5" s="3" t="s">
        <v>1350</v>
      </c>
    </row>
    <row r="6" spans="1:19" x14ac:dyDescent="0.25">
      <c r="A6" s="2">
        <v>3</v>
      </c>
      <c r="B6" s="2">
        <v>2023</v>
      </c>
      <c r="C6" s="2" t="s">
        <v>560</v>
      </c>
      <c r="D6" s="2" t="s">
        <v>1351</v>
      </c>
      <c r="E6" s="2">
        <v>24837</v>
      </c>
      <c r="F6" s="2">
        <v>15</v>
      </c>
      <c r="G6" s="2">
        <v>1200</v>
      </c>
      <c r="H6" s="2">
        <v>18000</v>
      </c>
      <c r="I6" s="2">
        <v>0</v>
      </c>
      <c r="J6" s="2" t="s">
        <v>740</v>
      </c>
      <c r="K6" s="2">
        <v>0.69450000000000001</v>
      </c>
      <c r="L6" s="2">
        <v>2.8660000000000001</v>
      </c>
      <c r="M6" s="2">
        <v>12501</v>
      </c>
      <c r="N6" s="2">
        <v>0</v>
      </c>
      <c r="O6" s="2">
        <v>310487.34000000003</v>
      </c>
      <c r="P6" s="2">
        <v>0</v>
      </c>
      <c r="Q6" s="2">
        <v>310487.34000000003</v>
      </c>
      <c r="R6" s="2" t="s">
        <v>1352</v>
      </c>
      <c r="S6" s="2" t="s">
        <v>1353</v>
      </c>
    </row>
    <row r="7" spans="1:19" ht="24" x14ac:dyDescent="0.25">
      <c r="A7" s="3">
        <v>4</v>
      </c>
      <c r="B7" s="3">
        <v>2023</v>
      </c>
      <c r="C7" s="3" t="s">
        <v>1354</v>
      </c>
      <c r="D7" s="3" t="s">
        <v>1355</v>
      </c>
      <c r="E7" s="3">
        <v>46067</v>
      </c>
      <c r="F7" s="3">
        <v>10</v>
      </c>
      <c r="G7" s="3">
        <v>400</v>
      </c>
      <c r="H7" s="3">
        <v>4000</v>
      </c>
      <c r="I7" s="3">
        <v>0</v>
      </c>
      <c r="J7" s="3" t="s">
        <v>740</v>
      </c>
      <c r="K7" s="3">
        <v>0.39979999999999999</v>
      </c>
      <c r="L7" s="3">
        <v>2.74</v>
      </c>
      <c r="M7" s="3">
        <v>1599.2</v>
      </c>
      <c r="N7" s="3">
        <v>0</v>
      </c>
      <c r="O7" s="3">
        <v>73670.350000000006</v>
      </c>
      <c r="P7" s="3">
        <v>0</v>
      </c>
      <c r="Q7" s="3">
        <v>73670.350000000006</v>
      </c>
      <c r="R7" s="3" t="s">
        <v>1352</v>
      </c>
      <c r="S7" s="3" t="s">
        <v>1350</v>
      </c>
    </row>
    <row r="8" spans="1:19" x14ac:dyDescent="0.25">
      <c r="A8" s="2">
        <v>5</v>
      </c>
      <c r="B8" s="2">
        <v>2023</v>
      </c>
      <c r="C8" s="2" t="s">
        <v>560</v>
      </c>
      <c r="D8" s="2" t="s">
        <v>1356</v>
      </c>
      <c r="E8" s="2">
        <v>2078</v>
      </c>
      <c r="F8" s="2">
        <v>15</v>
      </c>
      <c r="G8" s="2">
        <v>1200</v>
      </c>
      <c r="H8" s="2">
        <v>18000</v>
      </c>
      <c r="I8" s="2">
        <v>0</v>
      </c>
      <c r="J8" s="2" t="s">
        <v>740</v>
      </c>
      <c r="K8" s="2">
        <v>0.41899999999999998</v>
      </c>
      <c r="L8" s="2">
        <v>2.2549999999999999</v>
      </c>
      <c r="M8" s="2">
        <v>7542</v>
      </c>
      <c r="N8" s="2">
        <v>0</v>
      </c>
      <c r="O8" s="2">
        <v>15672.28</v>
      </c>
      <c r="P8" s="2">
        <v>0</v>
      </c>
      <c r="Q8" s="2">
        <v>15672.28</v>
      </c>
      <c r="R8" s="2" t="s">
        <v>1345</v>
      </c>
      <c r="S8" s="2" t="s">
        <v>1346</v>
      </c>
    </row>
    <row r="9" spans="1:19" ht="24" x14ac:dyDescent="0.25">
      <c r="A9" s="3">
        <v>6</v>
      </c>
      <c r="B9" s="3">
        <v>2023</v>
      </c>
      <c r="C9" s="3" t="s">
        <v>1354</v>
      </c>
      <c r="D9" s="3" t="s">
        <v>1357</v>
      </c>
      <c r="E9" s="3">
        <v>37401</v>
      </c>
      <c r="F9" s="3">
        <v>10</v>
      </c>
      <c r="G9" s="3">
        <v>400</v>
      </c>
      <c r="H9" s="3">
        <v>4000</v>
      </c>
      <c r="I9" s="3">
        <v>0</v>
      </c>
      <c r="J9" s="3" t="s">
        <v>740</v>
      </c>
      <c r="K9" s="3">
        <v>0.74060000000000004</v>
      </c>
      <c r="L9" s="3">
        <v>2.5579999999999998</v>
      </c>
      <c r="M9" s="3">
        <v>2962.4</v>
      </c>
      <c r="N9" s="3">
        <v>0</v>
      </c>
      <c r="O9" s="3">
        <v>110796.72</v>
      </c>
      <c r="P9" s="3">
        <v>0</v>
      </c>
      <c r="Q9" s="3">
        <v>110796.72</v>
      </c>
      <c r="R9" s="3" t="s">
        <v>117</v>
      </c>
      <c r="S9" s="3" t="s">
        <v>1346</v>
      </c>
    </row>
    <row r="10" spans="1:19" x14ac:dyDescent="0.25">
      <c r="A10" s="2">
        <v>7</v>
      </c>
      <c r="B10" s="2">
        <v>2023</v>
      </c>
      <c r="C10" s="2" t="s">
        <v>525</v>
      </c>
      <c r="D10" s="2" t="s">
        <v>1358</v>
      </c>
      <c r="E10" s="2">
        <v>48829</v>
      </c>
      <c r="F10" s="2">
        <v>8</v>
      </c>
      <c r="G10" s="2">
        <v>0</v>
      </c>
      <c r="H10" s="2">
        <v>0</v>
      </c>
      <c r="I10" s="2">
        <v>1200</v>
      </c>
      <c r="J10" s="2" t="s">
        <v>508</v>
      </c>
      <c r="K10" s="2">
        <v>0.41589999999999999</v>
      </c>
      <c r="L10" s="2">
        <v>2.68</v>
      </c>
      <c r="M10" s="2">
        <v>0</v>
      </c>
      <c r="N10" s="2">
        <v>25728</v>
      </c>
      <c r="O10" s="2">
        <v>0</v>
      </c>
      <c r="P10" s="2">
        <v>1256272.51</v>
      </c>
      <c r="Q10" s="2">
        <v>1256272.51</v>
      </c>
      <c r="R10" s="2" t="s">
        <v>1352</v>
      </c>
      <c r="S10" s="2" t="s">
        <v>1353</v>
      </c>
    </row>
    <row r="11" spans="1:19" x14ac:dyDescent="0.25">
      <c r="A11" s="3">
        <v>8</v>
      </c>
      <c r="B11" s="3">
        <v>2023</v>
      </c>
      <c r="C11" s="3" t="s">
        <v>1359</v>
      </c>
      <c r="D11" s="3" t="s">
        <v>1360</v>
      </c>
      <c r="E11" s="3">
        <v>29196</v>
      </c>
      <c r="F11" s="3">
        <v>8</v>
      </c>
      <c r="G11" s="3">
        <v>40</v>
      </c>
      <c r="H11" s="3">
        <v>320</v>
      </c>
      <c r="I11" s="3">
        <v>0</v>
      </c>
      <c r="J11" s="3" t="s">
        <v>740</v>
      </c>
      <c r="K11" s="3">
        <v>0.71730000000000005</v>
      </c>
      <c r="L11" s="3">
        <v>2.8650000000000002</v>
      </c>
      <c r="M11" s="3">
        <v>229.54</v>
      </c>
      <c r="N11" s="3">
        <v>0</v>
      </c>
      <c r="O11" s="3">
        <v>6701.65</v>
      </c>
      <c r="P11" s="3">
        <v>0</v>
      </c>
      <c r="Q11" s="3">
        <v>6701.65</v>
      </c>
      <c r="R11" s="3" t="s">
        <v>24</v>
      </c>
      <c r="S11" s="3" t="s">
        <v>1346</v>
      </c>
    </row>
    <row r="12" spans="1:19" x14ac:dyDescent="0.25">
      <c r="A12" s="2">
        <v>9</v>
      </c>
      <c r="B12" s="2">
        <v>2023</v>
      </c>
      <c r="C12" s="2" t="s">
        <v>560</v>
      </c>
      <c r="D12" s="2" t="s">
        <v>1361</v>
      </c>
      <c r="E12" s="2">
        <v>4032</v>
      </c>
      <c r="F12" s="2">
        <v>15</v>
      </c>
      <c r="G12" s="2">
        <v>1200</v>
      </c>
      <c r="H12" s="2">
        <v>18000</v>
      </c>
      <c r="I12" s="2">
        <v>0</v>
      </c>
      <c r="J12" s="2" t="s">
        <v>740</v>
      </c>
      <c r="K12" s="2">
        <v>0.7641</v>
      </c>
      <c r="L12" s="2">
        <v>2.1349999999999998</v>
      </c>
      <c r="M12" s="2">
        <v>13753.8</v>
      </c>
      <c r="N12" s="2">
        <v>0</v>
      </c>
      <c r="O12" s="2">
        <v>55455.32</v>
      </c>
      <c r="P12" s="2">
        <v>0</v>
      </c>
      <c r="Q12" s="2">
        <v>55455.32</v>
      </c>
      <c r="R12" s="2" t="s">
        <v>117</v>
      </c>
      <c r="S12" s="2" t="s">
        <v>1346</v>
      </c>
    </row>
    <row r="13" spans="1:19" x14ac:dyDescent="0.25">
      <c r="A13" s="3">
        <v>10</v>
      </c>
      <c r="B13" s="3">
        <v>2023</v>
      </c>
      <c r="C13" s="3" t="s">
        <v>1362</v>
      </c>
      <c r="D13" s="3" t="s">
        <v>1363</v>
      </c>
      <c r="E13" s="3">
        <v>10608</v>
      </c>
      <c r="F13" s="3">
        <v>20</v>
      </c>
      <c r="G13" s="3">
        <v>0</v>
      </c>
      <c r="H13" s="3">
        <v>0</v>
      </c>
      <c r="I13" s="3">
        <v>5000</v>
      </c>
      <c r="J13" s="3" t="s">
        <v>514</v>
      </c>
      <c r="K13" s="3">
        <v>0.35510000000000003</v>
      </c>
      <c r="L13" s="3">
        <v>3.016</v>
      </c>
      <c r="M13" s="3">
        <v>0</v>
      </c>
      <c r="N13" s="3">
        <v>301600</v>
      </c>
      <c r="O13" s="3">
        <v>0</v>
      </c>
      <c r="P13" s="3">
        <v>3199372.8</v>
      </c>
      <c r="Q13" s="3">
        <v>3199372.8</v>
      </c>
      <c r="R13" s="3" t="s">
        <v>1364</v>
      </c>
      <c r="S13" s="3" t="s">
        <v>1350</v>
      </c>
    </row>
    <row r="14" spans="1:19" x14ac:dyDescent="0.25">
      <c r="A14" s="2">
        <v>11</v>
      </c>
      <c r="B14" s="2">
        <v>2023</v>
      </c>
      <c r="C14" s="2" t="s">
        <v>1365</v>
      </c>
      <c r="D14" s="2" t="s">
        <v>1366</v>
      </c>
      <c r="E14" s="2">
        <v>37590</v>
      </c>
      <c r="F14" s="2">
        <v>4</v>
      </c>
      <c r="G14" s="2">
        <v>60</v>
      </c>
      <c r="H14" s="2">
        <v>240</v>
      </c>
      <c r="I14" s="2">
        <v>0</v>
      </c>
      <c r="J14" s="2" t="s">
        <v>740</v>
      </c>
      <c r="K14" s="2">
        <v>0.58589999999999998</v>
      </c>
      <c r="L14" s="2">
        <v>2.88</v>
      </c>
      <c r="M14" s="2">
        <v>140.62</v>
      </c>
      <c r="N14" s="2">
        <v>0</v>
      </c>
      <c r="O14" s="2">
        <v>5285.91</v>
      </c>
      <c r="P14" s="2">
        <v>0</v>
      </c>
      <c r="Q14" s="2">
        <v>5285.91</v>
      </c>
      <c r="R14" s="2" t="s">
        <v>1352</v>
      </c>
      <c r="S14" s="2" t="s">
        <v>1346</v>
      </c>
    </row>
    <row r="15" spans="1:19" x14ac:dyDescent="0.25">
      <c r="A15" s="3">
        <v>12</v>
      </c>
      <c r="B15" s="3">
        <v>2023</v>
      </c>
      <c r="C15" s="3" t="s">
        <v>1365</v>
      </c>
      <c r="D15" s="3" t="s">
        <v>1367</v>
      </c>
      <c r="E15" s="3">
        <v>6125</v>
      </c>
      <c r="F15" s="3">
        <v>4</v>
      </c>
      <c r="G15" s="3">
        <v>60</v>
      </c>
      <c r="H15" s="3">
        <v>240</v>
      </c>
      <c r="I15" s="3">
        <v>0</v>
      </c>
      <c r="J15" s="3" t="s">
        <v>740</v>
      </c>
      <c r="K15" s="3">
        <v>0.59509999999999996</v>
      </c>
      <c r="L15" s="3">
        <v>3.1760000000000002</v>
      </c>
      <c r="M15" s="3">
        <v>142.82</v>
      </c>
      <c r="N15" s="3">
        <v>0</v>
      </c>
      <c r="O15" s="3">
        <v>874.77</v>
      </c>
      <c r="P15" s="3">
        <v>0</v>
      </c>
      <c r="Q15" s="3">
        <v>874.77</v>
      </c>
      <c r="R15" s="3" t="s">
        <v>1345</v>
      </c>
      <c r="S15" s="3" t="s">
        <v>1350</v>
      </c>
    </row>
    <row r="16" spans="1:19" x14ac:dyDescent="0.25">
      <c r="A16" s="2">
        <v>13</v>
      </c>
      <c r="B16" s="2">
        <v>2023</v>
      </c>
      <c r="C16" s="2" t="s">
        <v>1347</v>
      </c>
      <c r="D16" s="2" t="s">
        <v>1368</v>
      </c>
      <c r="E16" s="2">
        <v>26340</v>
      </c>
      <c r="F16" s="2">
        <v>12</v>
      </c>
      <c r="G16" s="2">
        <v>2000</v>
      </c>
      <c r="H16" s="2">
        <v>24000</v>
      </c>
      <c r="I16" s="2">
        <v>0</v>
      </c>
      <c r="J16" s="2" t="s">
        <v>740</v>
      </c>
      <c r="K16" s="2">
        <v>0.64100000000000001</v>
      </c>
      <c r="L16" s="2">
        <v>2.3410000000000002</v>
      </c>
      <c r="M16" s="2">
        <v>15384</v>
      </c>
      <c r="N16" s="2">
        <v>0</v>
      </c>
      <c r="O16" s="2">
        <v>405214.56</v>
      </c>
      <c r="P16" s="2">
        <v>0</v>
      </c>
      <c r="Q16" s="2">
        <v>405214.56</v>
      </c>
      <c r="R16" s="2" t="s">
        <v>1345</v>
      </c>
      <c r="S16" s="2" t="s">
        <v>1350</v>
      </c>
    </row>
    <row r="17" spans="1:19" x14ac:dyDescent="0.25">
      <c r="A17" s="3">
        <v>14</v>
      </c>
      <c r="B17" s="3">
        <v>2023</v>
      </c>
      <c r="C17" s="3" t="s">
        <v>1362</v>
      </c>
      <c r="D17" s="3" t="s">
        <v>1369</v>
      </c>
      <c r="E17" s="3">
        <v>39754</v>
      </c>
      <c r="F17" s="3">
        <v>20</v>
      </c>
      <c r="G17" s="3">
        <v>0</v>
      </c>
      <c r="H17" s="3">
        <v>0</v>
      </c>
      <c r="I17" s="3">
        <v>5000</v>
      </c>
      <c r="J17" s="3" t="s">
        <v>514</v>
      </c>
      <c r="K17" s="3">
        <v>0.74560000000000004</v>
      </c>
      <c r="L17" s="3">
        <v>2.9980000000000002</v>
      </c>
      <c r="M17" s="3">
        <v>0</v>
      </c>
      <c r="N17" s="3">
        <v>299800</v>
      </c>
      <c r="O17" s="3">
        <v>0</v>
      </c>
      <c r="P17" s="3">
        <v>11918249.199999999</v>
      </c>
      <c r="Q17" s="3">
        <v>11918249.199999999</v>
      </c>
      <c r="R17" s="3" t="s">
        <v>1352</v>
      </c>
      <c r="S17" s="3" t="s">
        <v>1353</v>
      </c>
    </row>
    <row r="18" spans="1:19" x14ac:dyDescent="0.25">
      <c r="A18" s="2">
        <v>15</v>
      </c>
      <c r="B18" s="2">
        <v>2023</v>
      </c>
      <c r="C18" s="2" t="s">
        <v>1370</v>
      </c>
      <c r="D18" s="2" t="s">
        <v>1371</v>
      </c>
      <c r="E18" s="2">
        <v>25034</v>
      </c>
      <c r="F18" s="2">
        <v>12</v>
      </c>
      <c r="G18" s="2">
        <v>0</v>
      </c>
      <c r="H18" s="2">
        <v>0</v>
      </c>
      <c r="I18" s="2">
        <v>700</v>
      </c>
      <c r="J18" s="2" t="s">
        <v>514</v>
      </c>
      <c r="K18" s="2">
        <v>0.42749999999999999</v>
      </c>
      <c r="L18" s="2">
        <v>2.984</v>
      </c>
      <c r="M18" s="2">
        <v>0</v>
      </c>
      <c r="N18" s="2">
        <v>25065.599999999999</v>
      </c>
      <c r="O18" s="2">
        <v>0</v>
      </c>
      <c r="P18" s="2">
        <v>627492.23</v>
      </c>
      <c r="Q18" s="2">
        <v>627492.23</v>
      </c>
      <c r="R18" s="2" t="s">
        <v>1345</v>
      </c>
      <c r="S18" s="2" t="s">
        <v>1353</v>
      </c>
    </row>
    <row r="19" spans="1:19" x14ac:dyDescent="0.25">
      <c r="A19" s="3">
        <v>16</v>
      </c>
      <c r="B19" s="3">
        <v>2023</v>
      </c>
      <c r="C19" s="3" t="s">
        <v>1372</v>
      </c>
      <c r="D19" s="3" t="s">
        <v>1373</v>
      </c>
      <c r="E19" s="3">
        <v>6941</v>
      </c>
      <c r="F19" s="3">
        <v>12</v>
      </c>
      <c r="G19" s="3">
        <v>150</v>
      </c>
      <c r="H19" s="3">
        <v>1800</v>
      </c>
      <c r="I19" s="3">
        <v>0</v>
      </c>
      <c r="J19" s="3" t="s">
        <v>740</v>
      </c>
      <c r="K19" s="3">
        <v>0.3866</v>
      </c>
      <c r="L19" s="3">
        <v>2.7639999999999998</v>
      </c>
      <c r="M19" s="3">
        <v>695.88</v>
      </c>
      <c r="N19" s="3">
        <v>0</v>
      </c>
      <c r="O19" s="3">
        <v>4830.1000000000004</v>
      </c>
      <c r="P19" s="3">
        <v>0</v>
      </c>
      <c r="Q19" s="3">
        <v>4830.1000000000004</v>
      </c>
      <c r="R19" s="3" t="s">
        <v>117</v>
      </c>
      <c r="S19" s="3" t="s">
        <v>1353</v>
      </c>
    </row>
    <row r="20" spans="1:19" ht="24" x14ac:dyDescent="0.25">
      <c r="A20" s="2">
        <v>17</v>
      </c>
      <c r="B20" s="2">
        <v>2023</v>
      </c>
      <c r="C20" s="2" t="s">
        <v>1354</v>
      </c>
      <c r="D20" s="2" t="s">
        <v>1374</v>
      </c>
      <c r="E20" s="2">
        <v>15797</v>
      </c>
      <c r="F20" s="2">
        <v>10</v>
      </c>
      <c r="G20" s="2">
        <v>400</v>
      </c>
      <c r="H20" s="2">
        <v>4000</v>
      </c>
      <c r="I20" s="2">
        <v>0</v>
      </c>
      <c r="J20" s="2" t="s">
        <v>740</v>
      </c>
      <c r="K20" s="2">
        <v>0.48259999999999997</v>
      </c>
      <c r="L20" s="2">
        <v>2.6960000000000002</v>
      </c>
      <c r="M20" s="2">
        <v>1930.4</v>
      </c>
      <c r="N20" s="2">
        <v>0</v>
      </c>
      <c r="O20" s="2">
        <v>30494.53</v>
      </c>
      <c r="P20" s="2">
        <v>0</v>
      </c>
      <c r="Q20" s="2">
        <v>30494.53</v>
      </c>
      <c r="R20" s="2" t="s">
        <v>120</v>
      </c>
      <c r="S20" s="2" t="s">
        <v>1346</v>
      </c>
    </row>
    <row r="21" spans="1:19" x14ac:dyDescent="0.25">
      <c r="A21" s="3">
        <v>18</v>
      </c>
      <c r="B21" s="3">
        <v>2023</v>
      </c>
      <c r="C21" s="3" t="s">
        <v>503</v>
      </c>
      <c r="D21" s="3" t="s">
        <v>1375</v>
      </c>
      <c r="E21" s="3">
        <v>819</v>
      </c>
      <c r="F21" s="3">
        <v>15</v>
      </c>
      <c r="G21" s="3">
        <v>1800</v>
      </c>
      <c r="H21" s="3">
        <v>27000</v>
      </c>
      <c r="I21" s="3">
        <v>0</v>
      </c>
      <c r="J21" s="3" t="s">
        <v>740</v>
      </c>
      <c r="K21" s="3">
        <v>0.7056</v>
      </c>
      <c r="L21" s="3">
        <v>2.44</v>
      </c>
      <c r="M21" s="3">
        <v>19051.2</v>
      </c>
      <c r="N21" s="3">
        <v>0</v>
      </c>
      <c r="O21" s="3">
        <v>15602.93</v>
      </c>
      <c r="P21" s="3">
        <v>0</v>
      </c>
      <c r="Q21" s="3">
        <v>15602.93</v>
      </c>
      <c r="R21" s="3" t="s">
        <v>1364</v>
      </c>
      <c r="S21" s="3" t="s">
        <v>1346</v>
      </c>
    </row>
    <row r="22" spans="1:19" ht="24" x14ac:dyDescent="0.25">
      <c r="A22" s="2">
        <v>19</v>
      </c>
      <c r="B22" s="2">
        <v>2023</v>
      </c>
      <c r="C22" s="2" t="s">
        <v>1354</v>
      </c>
      <c r="D22" s="2" t="s">
        <v>1376</v>
      </c>
      <c r="E22" s="2">
        <v>15850</v>
      </c>
      <c r="F22" s="2">
        <v>10</v>
      </c>
      <c r="G22" s="2">
        <v>400</v>
      </c>
      <c r="H22" s="2">
        <v>4000</v>
      </c>
      <c r="I22" s="2">
        <v>0</v>
      </c>
      <c r="J22" s="2" t="s">
        <v>740</v>
      </c>
      <c r="K22" s="2">
        <v>0.47649999999999998</v>
      </c>
      <c r="L22" s="2">
        <v>3.1739999999999999</v>
      </c>
      <c r="M22" s="2">
        <v>1906</v>
      </c>
      <c r="N22" s="2">
        <v>0</v>
      </c>
      <c r="O22" s="2">
        <v>30210.1</v>
      </c>
      <c r="P22" s="2">
        <v>0</v>
      </c>
      <c r="Q22" s="2">
        <v>30210.1</v>
      </c>
      <c r="R22" s="2" t="s">
        <v>1364</v>
      </c>
      <c r="S22" s="2" t="s">
        <v>1346</v>
      </c>
    </row>
    <row r="23" spans="1:19" x14ac:dyDescent="0.25">
      <c r="A23" s="3">
        <v>20</v>
      </c>
      <c r="B23" s="3">
        <v>2023</v>
      </c>
      <c r="C23" s="3" t="s">
        <v>503</v>
      </c>
      <c r="D23" s="3" t="s">
        <v>1377</v>
      </c>
      <c r="E23" s="3">
        <v>31806</v>
      </c>
      <c r="F23" s="3">
        <v>15</v>
      </c>
      <c r="G23" s="3">
        <v>1800</v>
      </c>
      <c r="H23" s="3">
        <v>27000</v>
      </c>
      <c r="I23" s="3">
        <v>0</v>
      </c>
      <c r="J23" s="3" t="s">
        <v>740</v>
      </c>
      <c r="K23" s="3">
        <v>0.3715</v>
      </c>
      <c r="L23" s="3">
        <v>2.4460000000000002</v>
      </c>
      <c r="M23" s="3">
        <v>10030.5</v>
      </c>
      <c r="N23" s="3">
        <v>0</v>
      </c>
      <c r="O23" s="3">
        <v>319030.08</v>
      </c>
      <c r="P23" s="3">
        <v>0</v>
      </c>
      <c r="Q23" s="3">
        <v>319030.08</v>
      </c>
      <c r="R23" s="3" t="s">
        <v>24</v>
      </c>
      <c r="S23" s="3" t="s">
        <v>1346</v>
      </c>
    </row>
    <row r="24" spans="1:19" x14ac:dyDescent="0.25">
      <c r="A24" s="2">
        <v>21</v>
      </c>
      <c r="B24" s="2">
        <v>2023</v>
      </c>
      <c r="C24" s="2" t="s">
        <v>1359</v>
      </c>
      <c r="D24" s="2" t="s">
        <v>1378</v>
      </c>
      <c r="E24" s="2">
        <v>49362</v>
      </c>
      <c r="F24" s="2">
        <v>8</v>
      </c>
      <c r="G24" s="2">
        <v>40</v>
      </c>
      <c r="H24" s="2">
        <v>320</v>
      </c>
      <c r="I24" s="2">
        <v>0</v>
      </c>
      <c r="J24" s="2" t="s">
        <v>740</v>
      </c>
      <c r="K24" s="2">
        <v>0.48270000000000002</v>
      </c>
      <c r="L24" s="2">
        <v>2.5379999999999998</v>
      </c>
      <c r="M24" s="2">
        <v>154.46</v>
      </c>
      <c r="N24" s="2">
        <v>0</v>
      </c>
      <c r="O24" s="2">
        <v>7624.45</v>
      </c>
      <c r="P24" s="2">
        <v>0</v>
      </c>
      <c r="Q24" s="2">
        <v>7624.45</v>
      </c>
      <c r="R24" s="2" t="s">
        <v>1345</v>
      </c>
      <c r="S24" s="2" t="s">
        <v>1353</v>
      </c>
    </row>
    <row r="25" spans="1:19" x14ac:dyDescent="0.25">
      <c r="A25" s="3">
        <v>22</v>
      </c>
      <c r="B25" s="3">
        <v>2023</v>
      </c>
      <c r="C25" s="3" t="s">
        <v>1370</v>
      </c>
      <c r="D25" s="3" t="s">
        <v>1379</v>
      </c>
      <c r="E25" s="3">
        <v>47658</v>
      </c>
      <c r="F25" s="3">
        <v>12</v>
      </c>
      <c r="G25" s="3">
        <v>0</v>
      </c>
      <c r="H25" s="3">
        <v>0</v>
      </c>
      <c r="I25" s="3">
        <v>700</v>
      </c>
      <c r="J25" s="3" t="s">
        <v>1370</v>
      </c>
      <c r="K25" s="3">
        <v>0.51719999999999999</v>
      </c>
      <c r="L25" s="3">
        <v>2.242</v>
      </c>
      <c r="M25" s="3">
        <v>0</v>
      </c>
      <c r="N25" s="3">
        <v>18832.8</v>
      </c>
      <c r="O25" s="3">
        <v>0</v>
      </c>
      <c r="P25" s="3">
        <v>897533.58</v>
      </c>
      <c r="Q25" s="3">
        <v>897533.58</v>
      </c>
      <c r="R25" s="3" t="s">
        <v>24</v>
      </c>
      <c r="S25" s="3" t="s">
        <v>1353</v>
      </c>
    </row>
    <row r="26" spans="1:19" x14ac:dyDescent="0.25">
      <c r="A26" s="2">
        <v>23</v>
      </c>
      <c r="B26" s="2">
        <v>2023</v>
      </c>
      <c r="C26" s="2" t="s">
        <v>1362</v>
      </c>
      <c r="D26" s="2" t="s">
        <v>1380</v>
      </c>
      <c r="E26" s="2">
        <v>6719</v>
      </c>
      <c r="F26" s="2">
        <v>20</v>
      </c>
      <c r="G26" s="2">
        <v>0</v>
      </c>
      <c r="H26" s="2">
        <v>0</v>
      </c>
      <c r="I26" s="2">
        <v>5000</v>
      </c>
      <c r="J26" s="2" t="s">
        <v>1370</v>
      </c>
      <c r="K26" s="2">
        <v>0.58599999999999997</v>
      </c>
      <c r="L26" s="2">
        <v>2.9529999999999998</v>
      </c>
      <c r="M26" s="2">
        <v>0</v>
      </c>
      <c r="N26" s="2">
        <v>295300</v>
      </c>
      <c r="O26" s="2">
        <v>0</v>
      </c>
      <c r="P26" s="2">
        <v>1984120.7</v>
      </c>
      <c r="Q26" s="2">
        <v>1984120.7</v>
      </c>
      <c r="R26" s="2" t="s">
        <v>1364</v>
      </c>
      <c r="S26" s="2" t="s">
        <v>1353</v>
      </c>
    </row>
    <row r="27" spans="1:19" x14ac:dyDescent="0.25">
      <c r="A27" s="3">
        <v>24</v>
      </c>
      <c r="B27" s="3">
        <v>2023</v>
      </c>
      <c r="C27" s="3" t="s">
        <v>525</v>
      </c>
      <c r="D27" s="3" t="s">
        <v>1381</v>
      </c>
      <c r="E27" s="3">
        <v>38527</v>
      </c>
      <c r="F27" s="3">
        <v>8</v>
      </c>
      <c r="G27" s="3">
        <v>0</v>
      </c>
      <c r="H27" s="3">
        <v>0</v>
      </c>
      <c r="I27" s="3">
        <v>1200</v>
      </c>
      <c r="J27" s="3" t="s">
        <v>525</v>
      </c>
      <c r="K27" s="3">
        <v>0.75829999999999997</v>
      </c>
      <c r="L27" s="3">
        <v>2.141</v>
      </c>
      <c r="M27" s="3">
        <v>0</v>
      </c>
      <c r="N27" s="3">
        <v>20553.599999999999</v>
      </c>
      <c r="O27" s="3">
        <v>0</v>
      </c>
      <c r="P27" s="3">
        <v>791868.55</v>
      </c>
      <c r="Q27" s="3">
        <v>791868.55</v>
      </c>
      <c r="R27" s="3" t="s">
        <v>1345</v>
      </c>
      <c r="S27" s="3" t="s">
        <v>1350</v>
      </c>
    </row>
    <row r="28" spans="1:19" x14ac:dyDescent="0.25">
      <c r="A28" s="2">
        <v>25</v>
      </c>
      <c r="B28" s="2">
        <v>2023</v>
      </c>
      <c r="C28" s="2" t="s">
        <v>525</v>
      </c>
      <c r="D28" s="2" t="s">
        <v>1382</v>
      </c>
      <c r="E28" s="2">
        <v>5261</v>
      </c>
      <c r="F28" s="2">
        <v>8</v>
      </c>
      <c r="G28" s="2">
        <v>0</v>
      </c>
      <c r="H28" s="2">
        <v>0</v>
      </c>
      <c r="I28" s="2">
        <v>1200</v>
      </c>
      <c r="J28" s="2" t="s">
        <v>525</v>
      </c>
      <c r="K28" s="2">
        <v>0.76600000000000001</v>
      </c>
      <c r="L28" s="2">
        <v>2.2029999999999998</v>
      </c>
      <c r="M28" s="2">
        <v>0</v>
      </c>
      <c r="N28" s="2">
        <v>21148.799999999999</v>
      </c>
      <c r="O28" s="2">
        <v>0</v>
      </c>
      <c r="P28" s="2">
        <v>111263.84</v>
      </c>
      <c r="Q28" s="2">
        <v>111263.84</v>
      </c>
      <c r="R28" s="2" t="s">
        <v>1345</v>
      </c>
      <c r="S28" s="2" t="s">
        <v>1350</v>
      </c>
    </row>
    <row r="29" spans="1:19" x14ac:dyDescent="0.25">
      <c r="A29" s="3">
        <v>26</v>
      </c>
      <c r="B29" s="3">
        <v>2023</v>
      </c>
      <c r="C29" s="3" t="s">
        <v>560</v>
      </c>
      <c r="D29" s="3" t="s">
        <v>1383</v>
      </c>
      <c r="E29" s="3">
        <v>47191</v>
      </c>
      <c r="F29" s="3">
        <v>15</v>
      </c>
      <c r="G29" s="3">
        <v>1200</v>
      </c>
      <c r="H29" s="3">
        <v>18000</v>
      </c>
      <c r="I29" s="3">
        <v>0</v>
      </c>
      <c r="J29" s="3" t="s">
        <v>740</v>
      </c>
      <c r="K29" s="3">
        <v>0.42570000000000002</v>
      </c>
      <c r="L29" s="3">
        <v>3.16</v>
      </c>
      <c r="M29" s="3">
        <v>7662.6</v>
      </c>
      <c r="N29" s="3">
        <v>0</v>
      </c>
      <c r="O29" s="3">
        <v>361605.76</v>
      </c>
      <c r="P29" s="3">
        <v>0</v>
      </c>
      <c r="Q29" s="3">
        <v>361605.76</v>
      </c>
      <c r="R29" s="3" t="s">
        <v>1364</v>
      </c>
      <c r="S29" s="3" t="s">
        <v>1350</v>
      </c>
    </row>
    <row r="30" spans="1:19" x14ac:dyDescent="0.25">
      <c r="A30" s="2">
        <v>27</v>
      </c>
      <c r="B30" s="2">
        <v>2023</v>
      </c>
      <c r="C30" s="2" t="s">
        <v>503</v>
      </c>
      <c r="D30" s="2" t="s">
        <v>1384</v>
      </c>
      <c r="E30" s="2">
        <v>42789</v>
      </c>
      <c r="F30" s="2">
        <v>15</v>
      </c>
      <c r="G30" s="2">
        <v>1800</v>
      </c>
      <c r="H30" s="2">
        <v>27000</v>
      </c>
      <c r="I30" s="2">
        <v>0</v>
      </c>
      <c r="J30" s="2" t="s">
        <v>740</v>
      </c>
      <c r="K30" s="2">
        <v>0.59589999999999999</v>
      </c>
      <c r="L30" s="2">
        <v>2.9449999999999998</v>
      </c>
      <c r="M30" s="2">
        <v>16089.3</v>
      </c>
      <c r="N30" s="2">
        <v>0</v>
      </c>
      <c r="O30" s="2">
        <v>688445.06</v>
      </c>
      <c r="P30" s="2">
        <v>0</v>
      </c>
      <c r="Q30" s="2">
        <v>688445.06</v>
      </c>
      <c r="R30" s="2" t="s">
        <v>1352</v>
      </c>
      <c r="S30" s="2" t="s">
        <v>1346</v>
      </c>
    </row>
    <row r="31" spans="1:19" x14ac:dyDescent="0.25">
      <c r="A31" s="3">
        <v>28</v>
      </c>
      <c r="B31" s="3">
        <v>2023</v>
      </c>
      <c r="C31" s="3" t="s">
        <v>1359</v>
      </c>
      <c r="D31" s="3" t="s">
        <v>1385</v>
      </c>
      <c r="E31" s="3">
        <v>19160</v>
      </c>
      <c r="F31" s="3">
        <v>8</v>
      </c>
      <c r="G31" s="3">
        <v>40</v>
      </c>
      <c r="H31" s="3">
        <v>320</v>
      </c>
      <c r="I31" s="3">
        <v>0</v>
      </c>
      <c r="J31" s="3" t="s">
        <v>740</v>
      </c>
      <c r="K31" s="3">
        <v>0.51929999999999998</v>
      </c>
      <c r="L31" s="3">
        <v>3.0419999999999998</v>
      </c>
      <c r="M31" s="3">
        <v>166.18</v>
      </c>
      <c r="N31" s="3">
        <v>0</v>
      </c>
      <c r="O31" s="3">
        <v>3184.01</v>
      </c>
      <c r="P31" s="3">
        <v>0</v>
      </c>
      <c r="Q31" s="3">
        <v>3184.01</v>
      </c>
      <c r="R31" s="3" t="s">
        <v>1352</v>
      </c>
      <c r="S31" s="3" t="s">
        <v>1346</v>
      </c>
    </row>
    <row r="32" spans="1:19" x14ac:dyDescent="0.25">
      <c r="A32" s="2">
        <v>29</v>
      </c>
      <c r="B32" s="2">
        <v>2023</v>
      </c>
      <c r="C32" s="2" t="s">
        <v>1370</v>
      </c>
      <c r="D32" s="2" t="s">
        <v>1386</v>
      </c>
      <c r="E32" s="2">
        <v>15770</v>
      </c>
      <c r="F32" s="2">
        <v>12</v>
      </c>
      <c r="G32" s="2">
        <v>0</v>
      </c>
      <c r="H32" s="2">
        <v>0</v>
      </c>
      <c r="I32" s="2">
        <v>700</v>
      </c>
      <c r="J32" s="2" t="s">
        <v>1370</v>
      </c>
      <c r="K32" s="2">
        <v>0.4481</v>
      </c>
      <c r="L32" s="2">
        <v>2.7709999999999999</v>
      </c>
      <c r="M32" s="2">
        <v>0</v>
      </c>
      <c r="N32" s="2">
        <v>23276.400000000001</v>
      </c>
      <c r="O32" s="2">
        <v>0</v>
      </c>
      <c r="P32" s="2">
        <v>367068.83</v>
      </c>
      <c r="Q32" s="2">
        <v>367068.83</v>
      </c>
      <c r="R32" s="2" t="s">
        <v>1345</v>
      </c>
      <c r="S32" s="2" t="s">
        <v>1350</v>
      </c>
    </row>
    <row r="33" spans="1:19" x14ac:dyDescent="0.25">
      <c r="A33" s="3">
        <v>30</v>
      </c>
      <c r="B33" s="3">
        <v>2023</v>
      </c>
      <c r="C33" s="3" t="s">
        <v>525</v>
      </c>
      <c r="D33" s="3" t="s">
        <v>1387</v>
      </c>
      <c r="E33" s="3">
        <v>6483</v>
      </c>
      <c r="F33" s="3">
        <v>8</v>
      </c>
      <c r="G33" s="3">
        <v>0</v>
      </c>
      <c r="H33" s="3">
        <v>0</v>
      </c>
      <c r="I33" s="3">
        <v>1200</v>
      </c>
      <c r="J33" s="3" t="s">
        <v>508</v>
      </c>
      <c r="K33" s="3">
        <v>0.72819999999999996</v>
      </c>
      <c r="L33" s="3">
        <v>2.2570000000000001</v>
      </c>
      <c r="M33" s="3">
        <v>0</v>
      </c>
      <c r="N33" s="3">
        <v>21667.200000000001</v>
      </c>
      <c r="O33" s="3">
        <v>0</v>
      </c>
      <c r="P33" s="3">
        <v>140468.46</v>
      </c>
      <c r="Q33" s="3">
        <v>140468.46</v>
      </c>
      <c r="R33" s="3" t="s">
        <v>1364</v>
      </c>
      <c r="S33" s="3" t="s">
        <v>1346</v>
      </c>
    </row>
    <row r="34" spans="1:19" x14ac:dyDescent="0.25">
      <c r="A34" s="2">
        <v>31</v>
      </c>
      <c r="B34" s="2">
        <v>2023</v>
      </c>
      <c r="C34" s="2" t="s">
        <v>525</v>
      </c>
      <c r="D34" s="2" t="s">
        <v>1388</v>
      </c>
      <c r="E34" s="2">
        <v>6267</v>
      </c>
      <c r="F34" s="2">
        <v>8</v>
      </c>
      <c r="G34" s="2">
        <v>0</v>
      </c>
      <c r="H34" s="2">
        <v>0</v>
      </c>
      <c r="I34" s="2">
        <v>1200</v>
      </c>
      <c r="J34" s="2" t="s">
        <v>508</v>
      </c>
      <c r="K34" s="2">
        <v>0.56379999999999997</v>
      </c>
      <c r="L34" s="2">
        <v>2.2869999999999999</v>
      </c>
      <c r="M34" s="2">
        <v>0</v>
      </c>
      <c r="N34" s="2">
        <v>21955.200000000001</v>
      </c>
      <c r="O34" s="2">
        <v>0</v>
      </c>
      <c r="P34" s="2">
        <v>137593.24</v>
      </c>
      <c r="Q34" s="2">
        <v>137593.24</v>
      </c>
      <c r="R34" s="2" t="s">
        <v>1345</v>
      </c>
      <c r="S34" s="2" t="s">
        <v>1346</v>
      </c>
    </row>
    <row r="35" spans="1:19" x14ac:dyDescent="0.25">
      <c r="A35" s="3">
        <v>32</v>
      </c>
      <c r="B35" s="3">
        <v>2023</v>
      </c>
      <c r="C35" s="3" t="s">
        <v>1365</v>
      </c>
      <c r="D35" s="3" t="s">
        <v>1389</v>
      </c>
      <c r="E35" s="3">
        <v>37882</v>
      </c>
      <c r="F35" s="3">
        <v>4</v>
      </c>
      <c r="G35" s="3">
        <v>60</v>
      </c>
      <c r="H35" s="3">
        <v>240</v>
      </c>
      <c r="I35" s="3">
        <v>0</v>
      </c>
      <c r="J35" s="3" t="s">
        <v>740</v>
      </c>
      <c r="K35" s="3">
        <v>0.52080000000000004</v>
      </c>
      <c r="L35" s="3">
        <v>2.198</v>
      </c>
      <c r="M35" s="3">
        <v>124.99</v>
      </c>
      <c r="N35" s="3">
        <v>0</v>
      </c>
      <c r="O35" s="3">
        <v>4734.87</v>
      </c>
      <c r="P35" s="3">
        <v>0</v>
      </c>
      <c r="Q35" s="3">
        <v>4734.87</v>
      </c>
      <c r="R35" s="3" t="s">
        <v>1345</v>
      </c>
      <c r="S35" s="3" t="s">
        <v>1350</v>
      </c>
    </row>
    <row r="36" spans="1:19" x14ac:dyDescent="0.25">
      <c r="A36" s="2">
        <v>33</v>
      </c>
      <c r="B36" s="2">
        <v>2023</v>
      </c>
      <c r="C36" s="2" t="s">
        <v>525</v>
      </c>
      <c r="D36" s="2" t="s">
        <v>1390</v>
      </c>
      <c r="E36" s="2">
        <v>17004</v>
      </c>
      <c r="F36" s="2">
        <v>8</v>
      </c>
      <c r="G36" s="2">
        <v>0</v>
      </c>
      <c r="H36" s="2">
        <v>0</v>
      </c>
      <c r="I36" s="2">
        <v>1200</v>
      </c>
      <c r="J36" s="2" t="s">
        <v>514</v>
      </c>
      <c r="K36" s="2">
        <v>0.8135</v>
      </c>
      <c r="L36" s="2">
        <v>3.1760000000000002</v>
      </c>
      <c r="M36" s="2">
        <v>0</v>
      </c>
      <c r="N36" s="2">
        <v>30489.599999999999</v>
      </c>
      <c r="O36" s="2">
        <v>0</v>
      </c>
      <c r="P36" s="2">
        <v>518445.16</v>
      </c>
      <c r="Q36" s="2">
        <v>518445.16</v>
      </c>
      <c r="R36" s="2" t="s">
        <v>1349</v>
      </c>
      <c r="S36" s="2" t="s">
        <v>1346</v>
      </c>
    </row>
    <row r="37" spans="1:19" x14ac:dyDescent="0.25">
      <c r="A37" s="3">
        <v>34</v>
      </c>
      <c r="B37" s="3">
        <v>2023</v>
      </c>
      <c r="C37" s="3" t="s">
        <v>1372</v>
      </c>
      <c r="D37" s="3" t="s">
        <v>1391</v>
      </c>
      <c r="E37" s="3">
        <v>37372</v>
      </c>
      <c r="F37" s="3">
        <v>12</v>
      </c>
      <c r="G37" s="3">
        <v>150</v>
      </c>
      <c r="H37" s="3">
        <v>1800</v>
      </c>
      <c r="I37" s="3">
        <v>0</v>
      </c>
      <c r="J37" s="3" t="s">
        <v>740</v>
      </c>
      <c r="K37" s="3">
        <v>0.57950000000000002</v>
      </c>
      <c r="L37" s="3">
        <v>2.5</v>
      </c>
      <c r="M37" s="3">
        <v>1043.0999999999999</v>
      </c>
      <c r="N37" s="3">
        <v>0</v>
      </c>
      <c r="O37" s="3">
        <v>38982.730000000003</v>
      </c>
      <c r="P37" s="3">
        <v>0</v>
      </c>
      <c r="Q37" s="3">
        <v>38982.730000000003</v>
      </c>
      <c r="R37" s="3" t="s">
        <v>24</v>
      </c>
      <c r="S37" s="3" t="s">
        <v>1353</v>
      </c>
    </row>
    <row r="38" spans="1:19" x14ac:dyDescent="0.25">
      <c r="A38" s="2">
        <v>35</v>
      </c>
      <c r="B38" s="2">
        <v>2023</v>
      </c>
      <c r="C38" s="2" t="s">
        <v>1370</v>
      </c>
      <c r="D38" s="2" t="s">
        <v>1392</v>
      </c>
      <c r="E38" s="2">
        <v>40711</v>
      </c>
      <c r="F38" s="2">
        <v>12</v>
      </c>
      <c r="G38" s="2">
        <v>0</v>
      </c>
      <c r="H38" s="2">
        <v>0</v>
      </c>
      <c r="I38" s="2">
        <v>700</v>
      </c>
      <c r="J38" s="2" t="s">
        <v>508</v>
      </c>
      <c r="K38" s="2">
        <v>0.78110000000000002</v>
      </c>
      <c r="L38" s="2">
        <v>2.242</v>
      </c>
      <c r="M38" s="2">
        <v>0</v>
      </c>
      <c r="N38" s="2">
        <v>18832.8</v>
      </c>
      <c r="O38" s="2">
        <v>0</v>
      </c>
      <c r="P38" s="2">
        <v>766702.12</v>
      </c>
      <c r="Q38" s="2">
        <v>766702.12</v>
      </c>
      <c r="R38" s="2" t="s">
        <v>1364</v>
      </c>
      <c r="S38" s="2" t="s">
        <v>1350</v>
      </c>
    </row>
    <row r="39" spans="1:19" x14ac:dyDescent="0.25">
      <c r="A39" s="3">
        <v>36</v>
      </c>
      <c r="B39" s="3">
        <v>2023</v>
      </c>
      <c r="C39" s="3" t="s">
        <v>1359</v>
      </c>
      <c r="D39" s="3" t="s">
        <v>1393</v>
      </c>
      <c r="E39" s="3">
        <v>24589</v>
      </c>
      <c r="F39" s="3">
        <v>8</v>
      </c>
      <c r="G39" s="3">
        <v>40</v>
      </c>
      <c r="H39" s="3">
        <v>320</v>
      </c>
      <c r="I39" s="3">
        <v>0</v>
      </c>
      <c r="J39" s="3" t="s">
        <v>740</v>
      </c>
      <c r="K39" s="3">
        <v>0.38919999999999999</v>
      </c>
      <c r="L39" s="3">
        <v>2.5550000000000002</v>
      </c>
      <c r="M39" s="3">
        <v>124.54</v>
      </c>
      <c r="N39" s="3">
        <v>0</v>
      </c>
      <c r="O39" s="3">
        <v>3062.31</v>
      </c>
      <c r="P39" s="3">
        <v>0</v>
      </c>
      <c r="Q39" s="3">
        <v>3062.31</v>
      </c>
      <c r="R39" s="3" t="s">
        <v>1352</v>
      </c>
      <c r="S39" s="3" t="s">
        <v>1353</v>
      </c>
    </row>
    <row r="40" spans="1:19" ht="24" x14ac:dyDescent="0.25">
      <c r="A40" s="2">
        <v>37</v>
      </c>
      <c r="B40" s="2">
        <v>2023</v>
      </c>
      <c r="C40" s="2" t="s">
        <v>1354</v>
      </c>
      <c r="D40" s="2" t="s">
        <v>1394</v>
      </c>
      <c r="E40" s="2">
        <v>40772</v>
      </c>
      <c r="F40" s="2">
        <v>10</v>
      </c>
      <c r="G40" s="2">
        <v>400</v>
      </c>
      <c r="H40" s="2">
        <v>4000</v>
      </c>
      <c r="I40" s="2">
        <v>0</v>
      </c>
      <c r="J40" s="2" t="s">
        <v>740</v>
      </c>
      <c r="K40" s="2">
        <v>0.80940000000000001</v>
      </c>
      <c r="L40" s="2">
        <v>2.1629999999999998</v>
      </c>
      <c r="M40" s="2">
        <v>3237.6</v>
      </c>
      <c r="N40" s="2">
        <v>0</v>
      </c>
      <c r="O40" s="2">
        <v>132003.43</v>
      </c>
      <c r="P40" s="2">
        <v>0</v>
      </c>
      <c r="Q40" s="2">
        <v>132003.43</v>
      </c>
      <c r="R40" s="2" t="s">
        <v>117</v>
      </c>
      <c r="S40" s="2" t="s">
        <v>1346</v>
      </c>
    </row>
    <row r="41" spans="1:19" x14ac:dyDescent="0.25">
      <c r="A41" s="3">
        <v>38</v>
      </c>
      <c r="B41" s="3">
        <v>2023</v>
      </c>
      <c r="C41" s="3" t="s">
        <v>1362</v>
      </c>
      <c r="D41" s="3" t="s">
        <v>1395</v>
      </c>
      <c r="E41" s="3">
        <v>620</v>
      </c>
      <c r="F41" s="3">
        <v>20</v>
      </c>
      <c r="G41" s="3">
        <v>0</v>
      </c>
      <c r="H41" s="3">
        <v>0</v>
      </c>
      <c r="I41" s="3">
        <v>5000</v>
      </c>
      <c r="J41" s="3" t="s">
        <v>514</v>
      </c>
      <c r="K41" s="3">
        <v>0.42259999999999998</v>
      </c>
      <c r="L41" s="3">
        <v>2.2160000000000002</v>
      </c>
      <c r="M41" s="3">
        <v>0</v>
      </c>
      <c r="N41" s="3">
        <v>221600</v>
      </c>
      <c r="O41" s="3">
        <v>0</v>
      </c>
      <c r="P41" s="3">
        <v>137392</v>
      </c>
      <c r="Q41" s="3">
        <v>137392</v>
      </c>
      <c r="R41" s="3" t="s">
        <v>1345</v>
      </c>
      <c r="S41" s="3" t="s">
        <v>1350</v>
      </c>
    </row>
    <row r="42" spans="1:19" x14ac:dyDescent="0.25">
      <c r="A42" s="2">
        <v>39</v>
      </c>
      <c r="B42" s="2">
        <v>2023</v>
      </c>
      <c r="C42" s="2" t="s">
        <v>1370</v>
      </c>
      <c r="D42" s="2" t="s">
        <v>1396</v>
      </c>
      <c r="E42" s="2">
        <v>4882</v>
      </c>
      <c r="F42" s="2">
        <v>12</v>
      </c>
      <c r="G42" s="2">
        <v>0</v>
      </c>
      <c r="H42" s="2">
        <v>0</v>
      </c>
      <c r="I42" s="2">
        <v>700</v>
      </c>
      <c r="J42" s="2" t="s">
        <v>1370</v>
      </c>
      <c r="K42" s="2">
        <v>0.45479999999999998</v>
      </c>
      <c r="L42" s="2">
        <v>3.0619999999999998</v>
      </c>
      <c r="M42" s="2">
        <v>0</v>
      </c>
      <c r="N42" s="2">
        <v>25720.799999999999</v>
      </c>
      <c r="O42" s="2">
        <v>0</v>
      </c>
      <c r="P42" s="2">
        <v>125568.95</v>
      </c>
      <c r="Q42" s="2">
        <v>125568.95</v>
      </c>
      <c r="R42" s="2" t="s">
        <v>24</v>
      </c>
      <c r="S42" s="2" t="s">
        <v>1353</v>
      </c>
    </row>
    <row r="43" spans="1:19" x14ac:dyDescent="0.25">
      <c r="A43" s="3">
        <v>40</v>
      </c>
      <c r="B43" s="3">
        <v>2023</v>
      </c>
      <c r="C43" s="3" t="s">
        <v>525</v>
      </c>
      <c r="D43" s="3" t="s">
        <v>1397</v>
      </c>
      <c r="E43" s="3">
        <v>42205</v>
      </c>
      <c r="F43" s="3">
        <v>8</v>
      </c>
      <c r="G43" s="3">
        <v>0</v>
      </c>
      <c r="H43" s="3">
        <v>0</v>
      </c>
      <c r="I43" s="3">
        <v>1200</v>
      </c>
      <c r="J43" s="3" t="s">
        <v>1370</v>
      </c>
      <c r="K43" s="3">
        <v>0.60150000000000003</v>
      </c>
      <c r="L43" s="3">
        <v>3</v>
      </c>
      <c r="M43" s="3">
        <v>0</v>
      </c>
      <c r="N43" s="3">
        <v>28800</v>
      </c>
      <c r="O43" s="3">
        <v>0</v>
      </c>
      <c r="P43" s="3">
        <v>1215504</v>
      </c>
      <c r="Q43" s="3">
        <v>1215504</v>
      </c>
      <c r="R43" s="3" t="s">
        <v>120</v>
      </c>
      <c r="S43" s="3" t="s">
        <v>1346</v>
      </c>
    </row>
    <row r="44" spans="1:19" x14ac:dyDescent="0.25">
      <c r="A44" s="2">
        <v>41</v>
      </c>
      <c r="B44" s="2">
        <v>2023</v>
      </c>
      <c r="C44" s="2" t="s">
        <v>1372</v>
      </c>
      <c r="D44" s="2" t="s">
        <v>1398</v>
      </c>
      <c r="E44" s="2">
        <v>26114</v>
      </c>
      <c r="F44" s="2">
        <v>12</v>
      </c>
      <c r="G44" s="2">
        <v>150</v>
      </c>
      <c r="H44" s="2">
        <v>1800</v>
      </c>
      <c r="I44" s="2">
        <v>0</v>
      </c>
      <c r="J44" s="2" t="s">
        <v>740</v>
      </c>
      <c r="K44" s="2">
        <v>0.71109999999999995</v>
      </c>
      <c r="L44" s="2">
        <v>2.319</v>
      </c>
      <c r="M44" s="2">
        <v>1279.98</v>
      </c>
      <c r="N44" s="2">
        <v>0</v>
      </c>
      <c r="O44" s="2">
        <v>33425.4</v>
      </c>
      <c r="P44" s="2">
        <v>0</v>
      </c>
      <c r="Q44" s="2">
        <v>33425.4</v>
      </c>
      <c r="R44" s="2" t="s">
        <v>24</v>
      </c>
      <c r="S44" s="2" t="s">
        <v>1346</v>
      </c>
    </row>
    <row r="45" spans="1:19" x14ac:dyDescent="0.25">
      <c r="A45" s="3">
        <v>42</v>
      </c>
      <c r="B45" s="3">
        <v>2023</v>
      </c>
      <c r="C45" s="3" t="s">
        <v>1359</v>
      </c>
      <c r="D45" s="3" t="s">
        <v>1399</v>
      </c>
      <c r="E45" s="3">
        <v>22541</v>
      </c>
      <c r="F45" s="3">
        <v>8</v>
      </c>
      <c r="G45" s="3">
        <v>40</v>
      </c>
      <c r="H45" s="3">
        <v>320</v>
      </c>
      <c r="I45" s="3">
        <v>0</v>
      </c>
      <c r="J45" s="3" t="s">
        <v>740</v>
      </c>
      <c r="K45" s="3">
        <v>0.81830000000000003</v>
      </c>
      <c r="L45" s="3">
        <v>2.6349999999999998</v>
      </c>
      <c r="M45" s="3">
        <v>261.86</v>
      </c>
      <c r="N45" s="3">
        <v>0</v>
      </c>
      <c r="O45" s="3">
        <v>5902.59</v>
      </c>
      <c r="P45" s="3">
        <v>0</v>
      </c>
      <c r="Q45" s="3">
        <v>5902.59</v>
      </c>
      <c r="R45" s="3" t="s">
        <v>1349</v>
      </c>
      <c r="S45" s="3" t="s">
        <v>1350</v>
      </c>
    </row>
    <row r="46" spans="1:19" x14ac:dyDescent="0.25">
      <c r="A46" s="2">
        <v>43</v>
      </c>
      <c r="B46" s="2">
        <v>2023</v>
      </c>
      <c r="C46" s="2" t="s">
        <v>525</v>
      </c>
      <c r="D46" s="2" t="s">
        <v>1400</v>
      </c>
      <c r="E46" s="2">
        <v>7592</v>
      </c>
      <c r="F46" s="2">
        <v>8</v>
      </c>
      <c r="G46" s="2">
        <v>0</v>
      </c>
      <c r="H46" s="2">
        <v>0</v>
      </c>
      <c r="I46" s="2">
        <v>1200</v>
      </c>
      <c r="J46" s="2" t="s">
        <v>525</v>
      </c>
      <c r="K46" s="2">
        <v>0.48080000000000001</v>
      </c>
      <c r="L46" s="2">
        <v>2.1419999999999999</v>
      </c>
      <c r="M46" s="2">
        <v>0</v>
      </c>
      <c r="N46" s="2">
        <v>20563.2</v>
      </c>
      <c r="O46" s="2">
        <v>0</v>
      </c>
      <c r="P46" s="2">
        <v>156115.81</v>
      </c>
      <c r="Q46" s="2">
        <v>156115.81</v>
      </c>
      <c r="R46" s="2" t="s">
        <v>1352</v>
      </c>
      <c r="S46" s="2" t="s">
        <v>1346</v>
      </c>
    </row>
    <row r="47" spans="1:19" x14ac:dyDescent="0.25">
      <c r="A47" s="3">
        <v>44</v>
      </c>
      <c r="B47" s="3">
        <v>2023</v>
      </c>
      <c r="C47" s="3" t="s">
        <v>1347</v>
      </c>
      <c r="D47" s="3" t="s">
        <v>1401</v>
      </c>
      <c r="E47" s="3">
        <v>21083</v>
      </c>
      <c r="F47" s="3">
        <v>12</v>
      </c>
      <c r="G47" s="3">
        <v>2000</v>
      </c>
      <c r="H47" s="3">
        <v>24000</v>
      </c>
      <c r="I47" s="3">
        <v>0</v>
      </c>
      <c r="J47" s="3" t="s">
        <v>740</v>
      </c>
      <c r="K47" s="3">
        <v>0.61709999999999998</v>
      </c>
      <c r="L47" s="3">
        <v>3.1869999999999998</v>
      </c>
      <c r="M47" s="3">
        <v>14810.4</v>
      </c>
      <c r="N47" s="3">
        <v>0</v>
      </c>
      <c r="O47" s="3">
        <v>312247.65999999997</v>
      </c>
      <c r="P47" s="3">
        <v>0</v>
      </c>
      <c r="Q47" s="3">
        <v>312247.65999999997</v>
      </c>
      <c r="R47" s="3" t="s">
        <v>117</v>
      </c>
      <c r="S47" s="3" t="s">
        <v>1353</v>
      </c>
    </row>
    <row r="48" spans="1:19" ht="24" x14ac:dyDescent="0.25">
      <c r="A48" s="2">
        <v>45</v>
      </c>
      <c r="B48" s="2">
        <v>2023</v>
      </c>
      <c r="C48" s="2" t="s">
        <v>1354</v>
      </c>
      <c r="D48" s="2" t="s">
        <v>1402</v>
      </c>
      <c r="E48" s="2">
        <v>23790</v>
      </c>
      <c r="F48" s="2">
        <v>10</v>
      </c>
      <c r="G48" s="2">
        <v>400</v>
      </c>
      <c r="H48" s="2">
        <v>4000</v>
      </c>
      <c r="I48" s="2">
        <v>0</v>
      </c>
      <c r="J48" s="2" t="s">
        <v>740</v>
      </c>
      <c r="K48" s="2">
        <v>0.72109999999999996</v>
      </c>
      <c r="L48" s="2">
        <v>3.1760000000000002</v>
      </c>
      <c r="M48" s="2">
        <v>2884.4</v>
      </c>
      <c r="N48" s="2">
        <v>0</v>
      </c>
      <c r="O48" s="2">
        <v>68619.88</v>
      </c>
      <c r="P48" s="2">
        <v>0</v>
      </c>
      <c r="Q48" s="2">
        <v>68619.88</v>
      </c>
      <c r="R48" s="2" t="s">
        <v>1345</v>
      </c>
      <c r="S48" s="2" t="s">
        <v>1346</v>
      </c>
    </row>
    <row r="49" spans="1:19" x14ac:dyDescent="0.25">
      <c r="A49" s="3">
        <v>46</v>
      </c>
      <c r="B49" s="3">
        <v>2023</v>
      </c>
      <c r="C49" s="3" t="s">
        <v>1347</v>
      </c>
      <c r="D49" s="3" t="s">
        <v>1403</v>
      </c>
      <c r="E49" s="3">
        <v>1603</v>
      </c>
      <c r="F49" s="3">
        <v>12</v>
      </c>
      <c r="G49" s="3">
        <v>2000</v>
      </c>
      <c r="H49" s="3">
        <v>24000</v>
      </c>
      <c r="I49" s="3">
        <v>0</v>
      </c>
      <c r="J49" s="3" t="s">
        <v>740</v>
      </c>
      <c r="K49" s="3">
        <v>0.79769999999999996</v>
      </c>
      <c r="L49" s="3">
        <v>2.8519999999999999</v>
      </c>
      <c r="M49" s="3">
        <v>19144.8</v>
      </c>
      <c r="N49" s="3">
        <v>0</v>
      </c>
      <c r="O49" s="3">
        <v>30689.11</v>
      </c>
      <c r="P49" s="3">
        <v>0</v>
      </c>
      <c r="Q49" s="3">
        <v>30689.11</v>
      </c>
      <c r="R49" s="3" t="s">
        <v>24</v>
      </c>
      <c r="S49" s="3" t="s">
        <v>1353</v>
      </c>
    </row>
    <row r="50" spans="1:19" x14ac:dyDescent="0.25">
      <c r="A50" s="2">
        <v>47</v>
      </c>
      <c r="B50" s="2">
        <v>2023</v>
      </c>
      <c r="C50" s="2" t="s">
        <v>560</v>
      </c>
      <c r="D50" s="2" t="s">
        <v>1404</v>
      </c>
      <c r="E50" s="2">
        <v>5578</v>
      </c>
      <c r="F50" s="2">
        <v>15</v>
      </c>
      <c r="G50" s="2">
        <v>1200</v>
      </c>
      <c r="H50" s="2">
        <v>18000</v>
      </c>
      <c r="I50" s="2">
        <v>0</v>
      </c>
      <c r="J50" s="2" t="s">
        <v>740</v>
      </c>
      <c r="K50" s="2">
        <v>0.41660000000000003</v>
      </c>
      <c r="L50" s="2">
        <v>2.4009999999999998</v>
      </c>
      <c r="M50" s="2">
        <v>7498.8</v>
      </c>
      <c r="N50" s="2">
        <v>0</v>
      </c>
      <c r="O50" s="2">
        <v>41828.31</v>
      </c>
      <c r="P50" s="2">
        <v>0</v>
      </c>
      <c r="Q50" s="2">
        <v>41828.31</v>
      </c>
      <c r="R50" s="2" t="s">
        <v>120</v>
      </c>
      <c r="S50" s="2" t="s">
        <v>1353</v>
      </c>
    </row>
    <row r="51" spans="1:19" x14ac:dyDescent="0.25">
      <c r="A51" s="3">
        <v>48</v>
      </c>
      <c r="B51" s="3">
        <v>2023</v>
      </c>
      <c r="C51" s="3" t="s">
        <v>525</v>
      </c>
      <c r="D51" s="3" t="s">
        <v>1405</v>
      </c>
      <c r="E51" s="3">
        <v>27606</v>
      </c>
      <c r="F51" s="3">
        <v>8</v>
      </c>
      <c r="G51" s="3">
        <v>0</v>
      </c>
      <c r="H51" s="3">
        <v>0</v>
      </c>
      <c r="I51" s="3">
        <v>1200</v>
      </c>
      <c r="J51" s="3" t="s">
        <v>508</v>
      </c>
      <c r="K51" s="3">
        <v>0.59660000000000002</v>
      </c>
      <c r="L51" s="3">
        <v>2.8370000000000002</v>
      </c>
      <c r="M51" s="3">
        <v>0</v>
      </c>
      <c r="N51" s="3">
        <v>27235.200000000001</v>
      </c>
      <c r="O51" s="3">
        <v>0</v>
      </c>
      <c r="P51" s="3">
        <v>751854.93</v>
      </c>
      <c r="Q51" s="3">
        <v>751854.93</v>
      </c>
      <c r="R51" s="3" t="s">
        <v>1345</v>
      </c>
      <c r="S51" s="3" t="s">
        <v>1346</v>
      </c>
    </row>
    <row r="52" spans="1:19" x14ac:dyDescent="0.25">
      <c r="A52" s="2">
        <v>49</v>
      </c>
      <c r="B52" s="2">
        <v>2023</v>
      </c>
      <c r="C52" s="2" t="s">
        <v>1372</v>
      </c>
      <c r="D52" s="2" t="s">
        <v>1406</v>
      </c>
      <c r="E52" s="2">
        <v>28184</v>
      </c>
      <c r="F52" s="2">
        <v>12</v>
      </c>
      <c r="G52" s="2">
        <v>150</v>
      </c>
      <c r="H52" s="2">
        <v>1800</v>
      </c>
      <c r="I52" s="2">
        <v>0</v>
      </c>
      <c r="J52" s="2" t="s">
        <v>740</v>
      </c>
      <c r="K52" s="2">
        <v>0.51070000000000004</v>
      </c>
      <c r="L52" s="2">
        <v>2.9279999999999999</v>
      </c>
      <c r="M52" s="2">
        <v>919.26</v>
      </c>
      <c r="N52" s="2">
        <v>0</v>
      </c>
      <c r="O52" s="2">
        <v>25908.42</v>
      </c>
      <c r="P52" s="2">
        <v>0</v>
      </c>
      <c r="Q52" s="2">
        <v>25908.42</v>
      </c>
      <c r="R52" s="2" t="s">
        <v>1345</v>
      </c>
      <c r="S52" s="2" t="s">
        <v>1346</v>
      </c>
    </row>
    <row r="53" spans="1:19" x14ac:dyDescent="0.25">
      <c r="A53" s="3">
        <v>50</v>
      </c>
      <c r="B53" s="3">
        <v>2023</v>
      </c>
      <c r="C53" s="3" t="s">
        <v>1359</v>
      </c>
      <c r="D53" s="3" t="s">
        <v>1407</v>
      </c>
      <c r="E53" s="3">
        <v>27566</v>
      </c>
      <c r="F53" s="3">
        <v>8</v>
      </c>
      <c r="G53" s="3">
        <v>40</v>
      </c>
      <c r="H53" s="3">
        <v>320</v>
      </c>
      <c r="I53" s="3">
        <v>0</v>
      </c>
      <c r="J53" s="3" t="s">
        <v>740</v>
      </c>
      <c r="K53" s="3">
        <v>0.57640000000000002</v>
      </c>
      <c r="L53" s="3">
        <v>2.6890000000000001</v>
      </c>
      <c r="M53" s="3">
        <v>184.45</v>
      </c>
      <c r="N53" s="3">
        <v>0</v>
      </c>
      <c r="O53" s="3">
        <v>5084.55</v>
      </c>
      <c r="P53" s="3">
        <v>0</v>
      </c>
      <c r="Q53" s="3">
        <v>5084.55</v>
      </c>
      <c r="R53" s="3" t="s">
        <v>117</v>
      </c>
      <c r="S53" s="3" t="s">
        <v>1346</v>
      </c>
    </row>
    <row r="54" spans="1:19" x14ac:dyDescent="0.25">
      <c r="A54" s="2">
        <v>51</v>
      </c>
      <c r="B54" s="2">
        <v>2023</v>
      </c>
      <c r="C54" s="2" t="s">
        <v>1370</v>
      </c>
      <c r="D54" s="2" t="s">
        <v>1408</v>
      </c>
      <c r="E54" s="2">
        <v>23345</v>
      </c>
      <c r="F54" s="2">
        <v>12</v>
      </c>
      <c r="G54" s="2">
        <v>0</v>
      </c>
      <c r="H54" s="2">
        <v>0</v>
      </c>
      <c r="I54" s="2">
        <v>700</v>
      </c>
      <c r="J54" s="2" t="s">
        <v>1370</v>
      </c>
      <c r="K54" s="2">
        <v>0.77890000000000004</v>
      </c>
      <c r="L54" s="2">
        <v>2.7269999999999999</v>
      </c>
      <c r="M54" s="2">
        <v>0</v>
      </c>
      <c r="N54" s="2">
        <v>22906.799999999999</v>
      </c>
      <c r="O54" s="2">
        <v>0</v>
      </c>
      <c r="P54" s="2">
        <v>534759.25</v>
      </c>
      <c r="Q54" s="2">
        <v>534759.25</v>
      </c>
      <c r="R54" s="2" t="s">
        <v>1364</v>
      </c>
      <c r="S54" s="2" t="s">
        <v>1350</v>
      </c>
    </row>
    <row r="55" spans="1:19" x14ac:dyDescent="0.25">
      <c r="A55" s="3">
        <v>52</v>
      </c>
      <c r="B55" s="3">
        <v>2023</v>
      </c>
      <c r="C55" s="3" t="s">
        <v>1347</v>
      </c>
      <c r="D55" s="3" t="s">
        <v>1409</v>
      </c>
      <c r="E55" s="3">
        <v>5199</v>
      </c>
      <c r="F55" s="3">
        <v>12</v>
      </c>
      <c r="G55" s="3">
        <v>2000</v>
      </c>
      <c r="H55" s="3">
        <v>24000</v>
      </c>
      <c r="I55" s="3">
        <v>0</v>
      </c>
      <c r="J55" s="3" t="s">
        <v>740</v>
      </c>
      <c r="K55" s="3">
        <v>0.68969999999999998</v>
      </c>
      <c r="L55" s="3">
        <v>2.7360000000000002</v>
      </c>
      <c r="M55" s="3">
        <v>16552.8</v>
      </c>
      <c r="N55" s="3">
        <v>0</v>
      </c>
      <c r="O55" s="3">
        <v>86058.01</v>
      </c>
      <c r="P55" s="3">
        <v>0</v>
      </c>
      <c r="Q55" s="3">
        <v>86058.01</v>
      </c>
      <c r="R55" s="3" t="s">
        <v>1345</v>
      </c>
      <c r="S55" s="3" t="s">
        <v>1353</v>
      </c>
    </row>
    <row r="56" spans="1:19" x14ac:dyDescent="0.25">
      <c r="A56" s="2">
        <v>53</v>
      </c>
      <c r="B56" s="2">
        <v>2023</v>
      </c>
      <c r="C56" s="2" t="s">
        <v>1359</v>
      </c>
      <c r="D56" s="2" t="s">
        <v>1410</v>
      </c>
      <c r="E56" s="2">
        <v>1029</v>
      </c>
      <c r="F56" s="2">
        <v>8</v>
      </c>
      <c r="G56" s="2">
        <v>40</v>
      </c>
      <c r="H56" s="2">
        <v>320</v>
      </c>
      <c r="I56" s="2">
        <v>0</v>
      </c>
      <c r="J56" s="2" t="s">
        <v>740</v>
      </c>
      <c r="K56" s="2">
        <v>0.42070000000000002</v>
      </c>
      <c r="L56" s="2">
        <v>2.605</v>
      </c>
      <c r="M56" s="2">
        <v>134.62</v>
      </c>
      <c r="N56" s="2">
        <v>0</v>
      </c>
      <c r="O56" s="2">
        <v>138.52000000000001</v>
      </c>
      <c r="P56" s="2">
        <v>0</v>
      </c>
      <c r="Q56" s="2">
        <v>138.52000000000001</v>
      </c>
      <c r="R56" s="2" t="s">
        <v>1345</v>
      </c>
      <c r="S56" s="2" t="s">
        <v>1353</v>
      </c>
    </row>
    <row r="57" spans="1:19" x14ac:dyDescent="0.25">
      <c r="A57" s="3">
        <v>54</v>
      </c>
      <c r="B57" s="3">
        <v>2023</v>
      </c>
      <c r="C57" s="3" t="s">
        <v>1359</v>
      </c>
      <c r="D57" s="3" t="s">
        <v>1411</v>
      </c>
      <c r="E57" s="3">
        <v>7545</v>
      </c>
      <c r="F57" s="3">
        <v>8</v>
      </c>
      <c r="G57" s="3">
        <v>40</v>
      </c>
      <c r="H57" s="3">
        <v>320</v>
      </c>
      <c r="I57" s="3">
        <v>0</v>
      </c>
      <c r="J57" s="3" t="s">
        <v>740</v>
      </c>
      <c r="K57" s="3">
        <v>0.72219999999999995</v>
      </c>
      <c r="L57" s="3">
        <v>2.8410000000000002</v>
      </c>
      <c r="M57" s="3">
        <v>231.1</v>
      </c>
      <c r="N57" s="3">
        <v>0</v>
      </c>
      <c r="O57" s="3">
        <v>1743.65</v>
      </c>
      <c r="P57" s="3">
        <v>0</v>
      </c>
      <c r="Q57" s="3">
        <v>1743.65</v>
      </c>
      <c r="R57" s="3" t="s">
        <v>24</v>
      </c>
      <c r="S57" s="3" t="s">
        <v>1350</v>
      </c>
    </row>
    <row r="58" spans="1:19" ht="24" x14ac:dyDescent="0.25">
      <c r="A58" s="2">
        <v>55</v>
      </c>
      <c r="B58" s="2">
        <v>2023</v>
      </c>
      <c r="C58" s="2" t="s">
        <v>1354</v>
      </c>
      <c r="D58" s="2" t="s">
        <v>1412</v>
      </c>
      <c r="E58" s="2">
        <v>29627</v>
      </c>
      <c r="F58" s="2">
        <v>10</v>
      </c>
      <c r="G58" s="2">
        <v>400</v>
      </c>
      <c r="H58" s="2">
        <v>4000</v>
      </c>
      <c r="I58" s="2">
        <v>0</v>
      </c>
      <c r="J58" s="2" t="s">
        <v>740</v>
      </c>
      <c r="K58" s="2">
        <v>0.79339999999999999</v>
      </c>
      <c r="L58" s="2">
        <v>3.0430000000000001</v>
      </c>
      <c r="M58" s="2">
        <v>3173.6</v>
      </c>
      <c r="N58" s="2">
        <v>0</v>
      </c>
      <c r="O58" s="2">
        <v>94024.25</v>
      </c>
      <c r="P58" s="2">
        <v>0</v>
      </c>
      <c r="Q58" s="2">
        <v>94024.25</v>
      </c>
      <c r="R58" s="2" t="s">
        <v>1349</v>
      </c>
      <c r="S58" s="2" t="s">
        <v>1353</v>
      </c>
    </row>
    <row r="59" spans="1:19" x14ac:dyDescent="0.25">
      <c r="A59" s="3">
        <v>56</v>
      </c>
      <c r="B59" s="3">
        <v>2023</v>
      </c>
      <c r="C59" s="3" t="s">
        <v>503</v>
      </c>
      <c r="D59" s="3" t="s">
        <v>1413</v>
      </c>
      <c r="E59" s="3">
        <v>6486</v>
      </c>
      <c r="F59" s="3">
        <v>15</v>
      </c>
      <c r="G59" s="3">
        <v>1800</v>
      </c>
      <c r="H59" s="3">
        <v>27000</v>
      </c>
      <c r="I59" s="3">
        <v>0</v>
      </c>
      <c r="J59" s="3" t="s">
        <v>740</v>
      </c>
      <c r="K59" s="3">
        <v>0.36709999999999998</v>
      </c>
      <c r="L59" s="3">
        <v>2.92</v>
      </c>
      <c r="M59" s="3">
        <v>9911.7000000000007</v>
      </c>
      <c r="N59" s="3">
        <v>0</v>
      </c>
      <c r="O59" s="3">
        <v>64287.29</v>
      </c>
      <c r="P59" s="3">
        <v>0</v>
      </c>
      <c r="Q59" s="3">
        <v>64287.29</v>
      </c>
      <c r="R59" s="3" t="s">
        <v>1345</v>
      </c>
      <c r="S59" s="3" t="s">
        <v>1353</v>
      </c>
    </row>
    <row r="60" spans="1:19" x14ac:dyDescent="0.25">
      <c r="A60" s="2">
        <v>57</v>
      </c>
      <c r="B60" s="2">
        <v>2023</v>
      </c>
      <c r="C60" s="2" t="s">
        <v>1362</v>
      </c>
      <c r="D60" s="2" t="s">
        <v>1414</v>
      </c>
      <c r="E60" s="2">
        <v>10985</v>
      </c>
      <c r="F60" s="2">
        <v>20</v>
      </c>
      <c r="G60" s="2">
        <v>0</v>
      </c>
      <c r="H60" s="2">
        <v>0</v>
      </c>
      <c r="I60" s="2">
        <v>5000</v>
      </c>
      <c r="J60" s="2" t="s">
        <v>525</v>
      </c>
      <c r="K60" s="2">
        <v>0.63239999999999996</v>
      </c>
      <c r="L60" s="2">
        <v>2.3380000000000001</v>
      </c>
      <c r="M60" s="2">
        <v>0</v>
      </c>
      <c r="N60" s="2">
        <v>233800</v>
      </c>
      <c r="O60" s="2">
        <v>0</v>
      </c>
      <c r="P60" s="2">
        <v>2568293</v>
      </c>
      <c r="Q60" s="2">
        <v>2568293</v>
      </c>
      <c r="R60" s="2" t="s">
        <v>1345</v>
      </c>
      <c r="S60" s="2" t="s">
        <v>1350</v>
      </c>
    </row>
    <row r="61" spans="1:19" x14ac:dyDescent="0.25">
      <c r="A61" s="3">
        <v>58</v>
      </c>
      <c r="B61" s="3">
        <v>2023</v>
      </c>
      <c r="C61" s="3" t="s">
        <v>503</v>
      </c>
      <c r="D61" s="3" t="s">
        <v>1415</v>
      </c>
      <c r="E61" s="3">
        <v>1041</v>
      </c>
      <c r="F61" s="3">
        <v>15</v>
      </c>
      <c r="G61" s="3">
        <v>1800</v>
      </c>
      <c r="H61" s="3">
        <v>27000</v>
      </c>
      <c r="I61" s="3">
        <v>0</v>
      </c>
      <c r="J61" s="3" t="s">
        <v>740</v>
      </c>
      <c r="K61" s="3">
        <v>0.52400000000000002</v>
      </c>
      <c r="L61" s="3">
        <v>2.5</v>
      </c>
      <c r="M61" s="3">
        <v>14148</v>
      </c>
      <c r="N61" s="3">
        <v>0</v>
      </c>
      <c r="O61" s="3">
        <v>14728.07</v>
      </c>
      <c r="P61" s="3">
        <v>0</v>
      </c>
      <c r="Q61" s="3">
        <v>14728.07</v>
      </c>
      <c r="R61" s="3" t="s">
        <v>24</v>
      </c>
      <c r="S61" s="3" t="s">
        <v>1353</v>
      </c>
    </row>
    <row r="62" spans="1:19" x14ac:dyDescent="0.25">
      <c r="A62" s="2">
        <v>59</v>
      </c>
      <c r="B62" s="2">
        <v>2023</v>
      </c>
      <c r="C62" s="2" t="s">
        <v>1362</v>
      </c>
      <c r="D62" s="2" t="s">
        <v>1416</v>
      </c>
      <c r="E62" s="2">
        <v>8275</v>
      </c>
      <c r="F62" s="2">
        <v>20</v>
      </c>
      <c r="G62" s="2">
        <v>0</v>
      </c>
      <c r="H62" s="2">
        <v>0</v>
      </c>
      <c r="I62" s="2">
        <v>5000</v>
      </c>
      <c r="J62" s="2" t="s">
        <v>514</v>
      </c>
      <c r="K62" s="2">
        <v>0.67869999999999997</v>
      </c>
      <c r="L62" s="2">
        <v>2.8140000000000001</v>
      </c>
      <c r="M62" s="2">
        <v>0</v>
      </c>
      <c r="N62" s="2">
        <v>281400</v>
      </c>
      <c r="O62" s="2">
        <v>0</v>
      </c>
      <c r="P62" s="2">
        <v>2328585</v>
      </c>
      <c r="Q62" s="2">
        <v>2328585</v>
      </c>
      <c r="R62" s="2" t="s">
        <v>1352</v>
      </c>
      <c r="S62" s="2" t="s">
        <v>1353</v>
      </c>
    </row>
    <row r="63" spans="1:19" x14ac:dyDescent="0.25">
      <c r="A63" s="3">
        <v>60</v>
      </c>
      <c r="B63" s="3">
        <v>2023</v>
      </c>
      <c r="C63" s="3" t="s">
        <v>1359</v>
      </c>
      <c r="D63" s="3" t="s">
        <v>1417</v>
      </c>
      <c r="E63" s="3">
        <v>23182</v>
      </c>
      <c r="F63" s="3">
        <v>8</v>
      </c>
      <c r="G63" s="3">
        <v>40</v>
      </c>
      <c r="H63" s="3">
        <v>320</v>
      </c>
      <c r="I63" s="3">
        <v>0</v>
      </c>
      <c r="J63" s="3" t="s">
        <v>740</v>
      </c>
      <c r="K63" s="3">
        <v>0.73919999999999997</v>
      </c>
      <c r="L63" s="3">
        <v>2.5680000000000001</v>
      </c>
      <c r="M63" s="3">
        <v>236.54</v>
      </c>
      <c r="N63" s="3">
        <v>0</v>
      </c>
      <c r="O63" s="3">
        <v>5483.47</v>
      </c>
      <c r="P63" s="3">
        <v>0</v>
      </c>
      <c r="Q63" s="3">
        <v>5483.47</v>
      </c>
      <c r="R63" s="3" t="s">
        <v>117</v>
      </c>
      <c r="S63" s="3" t="s">
        <v>1353</v>
      </c>
    </row>
    <row r="64" spans="1:19" x14ac:dyDescent="0.25">
      <c r="A64" s="2">
        <v>61</v>
      </c>
      <c r="B64" s="2">
        <v>2023</v>
      </c>
      <c r="C64" s="2" t="s">
        <v>1372</v>
      </c>
      <c r="D64" s="2" t="s">
        <v>1418</v>
      </c>
      <c r="E64" s="2">
        <v>11622</v>
      </c>
      <c r="F64" s="2">
        <v>12</v>
      </c>
      <c r="G64" s="2">
        <v>150</v>
      </c>
      <c r="H64" s="2">
        <v>1800</v>
      </c>
      <c r="I64" s="2">
        <v>0</v>
      </c>
      <c r="J64" s="2" t="s">
        <v>740</v>
      </c>
      <c r="K64" s="2">
        <v>0.56559999999999999</v>
      </c>
      <c r="L64" s="2">
        <v>2.5099999999999998</v>
      </c>
      <c r="M64" s="2">
        <v>1018.08</v>
      </c>
      <c r="N64" s="2">
        <v>0</v>
      </c>
      <c r="O64" s="2">
        <v>11832.13</v>
      </c>
      <c r="P64" s="2">
        <v>0</v>
      </c>
      <c r="Q64" s="2">
        <v>11832.13</v>
      </c>
      <c r="R64" s="2" t="s">
        <v>1364</v>
      </c>
      <c r="S64" s="2" t="s">
        <v>1350</v>
      </c>
    </row>
    <row r="65" spans="1:19" x14ac:dyDescent="0.25">
      <c r="A65" s="3">
        <v>62</v>
      </c>
      <c r="B65" s="3">
        <v>2023</v>
      </c>
      <c r="C65" s="3" t="s">
        <v>560</v>
      </c>
      <c r="D65" s="3" t="s">
        <v>1419</v>
      </c>
      <c r="E65" s="3">
        <v>35670</v>
      </c>
      <c r="F65" s="3">
        <v>15</v>
      </c>
      <c r="G65" s="3">
        <v>1200</v>
      </c>
      <c r="H65" s="3">
        <v>18000</v>
      </c>
      <c r="I65" s="3">
        <v>0</v>
      </c>
      <c r="J65" s="3" t="s">
        <v>740</v>
      </c>
      <c r="K65" s="3">
        <v>0.55489999999999995</v>
      </c>
      <c r="L65" s="3">
        <v>2.4140000000000001</v>
      </c>
      <c r="M65" s="3">
        <v>9988.2000000000007</v>
      </c>
      <c r="N65" s="3">
        <v>0</v>
      </c>
      <c r="O65" s="3">
        <v>356279.09</v>
      </c>
      <c r="P65" s="3">
        <v>0</v>
      </c>
      <c r="Q65" s="3">
        <v>356279.09</v>
      </c>
      <c r="R65" s="3" t="s">
        <v>1349</v>
      </c>
      <c r="S65" s="3" t="s">
        <v>1350</v>
      </c>
    </row>
    <row r="66" spans="1:19" x14ac:dyDescent="0.25">
      <c r="A66" s="2">
        <v>63</v>
      </c>
      <c r="B66" s="2">
        <v>2023</v>
      </c>
      <c r="C66" s="2" t="s">
        <v>1370</v>
      </c>
      <c r="D66" s="2" t="s">
        <v>1420</v>
      </c>
      <c r="E66" s="2">
        <v>41656</v>
      </c>
      <c r="F66" s="2">
        <v>12</v>
      </c>
      <c r="G66" s="2">
        <v>0</v>
      </c>
      <c r="H66" s="2">
        <v>0</v>
      </c>
      <c r="I66" s="2">
        <v>700</v>
      </c>
      <c r="J66" s="2" t="s">
        <v>1370</v>
      </c>
      <c r="K66" s="2">
        <v>0.48309999999999997</v>
      </c>
      <c r="L66" s="2">
        <v>2.782</v>
      </c>
      <c r="M66" s="2">
        <v>0</v>
      </c>
      <c r="N66" s="2">
        <v>23368.799999999999</v>
      </c>
      <c r="O66" s="2">
        <v>0</v>
      </c>
      <c r="P66" s="2">
        <v>973450.73</v>
      </c>
      <c r="Q66" s="2">
        <v>973450.73</v>
      </c>
      <c r="R66" s="2" t="s">
        <v>120</v>
      </c>
      <c r="S66" s="2" t="s">
        <v>1346</v>
      </c>
    </row>
    <row r="67" spans="1:19" x14ac:dyDescent="0.25">
      <c r="A67" s="3">
        <v>64</v>
      </c>
      <c r="B67" s="3">
        <v>2023</v>
      </c>
      <c r="C67" s="3" t="s">
        <v>1372</v>
      </c>
      <c r="D67" s="3" t="s">
        <v>1421</v>
      </c>
      <c r="E67" s="3">
        <v>42673</v>
      </c>
      <c r="F67" s="3">
        <v>12</v>
      </c>
      <c r="G67" s="3">
        <v>150</v>
      </c>
      <c r="H67" s="3">
        <v>1800</v>
      </c>
      <c r="I67" s="3">
        <v>0</v>
      </c>
      <c r="J67" s="3" t="s">
        <v>740</v>
      </c>
      <c r="K67" s="3">
        <v>0.35770000000000002</v>
      </c>
      <c r="L67" s="3">
        <v>3.1259999999999999</v>
      </c>
      <c r="M67" s="3">
        <v>643.86</v>
      </c>
      <c r="N67" s="3">
        <v>0</v>
      </c>
      <c r="O67" s="3">
        <v>27475.439999999999</v>
      </c>
      <c r="P67" s="3">
        <v>0</v>
      </c>
      <c r="Q67" s="3">
        <v>27475.439999999999</v>
      </c>
      <c r="R67" s="3" t="s">
        <v>120</v>
      </c>
      <c r="S67" s="3" t="s">
        <v>1353</v>
      </c>
    </row>
    <row r="68" spans="1:19" x14ac:dyDescent="0.25">
      <c r="A68" s="2">
        <v>65</v>
      </c>
      <c r="B68" s="2">
        <v>2023</v>
      </c>
      <c r="C68" s="2" t="s">
        <v>503</v>
      </c>
      <c r="D68" s="2" t="s">
        <v>1422</v>
      </c>
      <c r="E68" s="2">
        <v>35799</v>
      </c>
      <c r="F68" s="2">
        <v>15</v>
      </c>
      <c r="G68" s="2">
        <v>1800</v>
      </c>
      <c r="H68" s="2">
        <v>27000</v>
      </c>
      <c r="I68" s="2">
        <v>0</v>
      </c>
      <c r="J68" s="2" t="s">
        <v>740</v>
      </c>
      <c r="K68" s="2">
        <v>0.39689999999999998</v>
      </c>
      <c r="L68" s="2">
        <v>2.589</v>
      </c>
      <c r="M68" s="2">
        <v>10716.3</v>
      </c>
      <c r="N68" s="2">
        <v>0</v>
      </c>
      <c r="O68" s="2">
        <v>383632.82</v>
      </c>
      <c r="P68" s="2">
        <v>0</v>
      </c>
      <c r="Q68" s="2">
        <v>383632.82</v>
      </c>
      <c r="R68" s="2" t="s">
        <v>1364</v>
      </c>
      <c r="S68" s="2" t="s">
        <v>1346</v>
      </c>
    </row>
    <row r="69" spans="1:19" x14ac:dyDescent="0.25">
      <c r="A69" s="3">
        <v>66</v>
      </c>
      <c r="B69" s="3">
        <v>2023</v>
      </c>
      <c r="C69" s="3" t="s">
        <v>1365</v>
      </c>
      <c r="D69" s="3" t="s">
        <v>1423</v>
      </c>
      <c r="E69" s="3">
        <v>27667</v>
      </c>
      <c r="F69" s="3">
        <v>4</v>
      </c>
      <c r="G69" s="3">
        <v>60</v>
      </c>
      <c r="H69" s="3">
        <v>240</v>
      </c>
      <c r="I69" s="3">
        <v>0</v>
      </c>
      <c r="J69" s="3" t="s">
        <v>740</v>
      </c>
      <c r="K69" s="3">
        <v>0.4496</v>
      </c>
      <c r="L69" s="3">
        <v>2.9550000000000001</v>
      </c>
      <c r="M69" s="3">
        <v>107.9</v>
      </c>
      <c r="N69" s="3">
        <v>0</v>
      </c>
      <c r="O69" s="3">
        <v>2985.27</v>
      </c>
      <c r="P69" s="3">
        <v>0</v>
      </c>
      <c r="Q69" s="3">
        <v>2985.27</v>
      </c>
      <c r="R69" s="3" t="s">
        <v>1364</v>
      </c>
      <c r="S69" s="3" t="s">
        <v>1353</v>
      </c>
    </row>
    <row r="70" spans="1:19" x14ac:dyDescent="0.25">
      <c r="A70" s="2">
        <v>67</v>
      </c>
      <c r="B70" s="2">
        <v>2023</v>
      </c>
      <c r="C70" s="2" t="s">
        <v>1372</v>
      </c>
      <c r="D70" s="2" t="s">
        <v>1424</v>
      </c>
      <c r="E70" s="2">
        <v>12916</v>
      </c>
      <c r="F70" s="2">
        <v>12</v>
      </c>
      <c r="G70" s="2">
        <v>150</v>
      </c>
      <c r="H70" s="2">
        <v>1800</v>
      </c>
      <c r="I70" s="2">
        <v>0</v>
      </c>
      <c r="J70" s="2" t="s">
        <v>740</v>
      </c>
      <c r="K70" s="2">
        <v>0.75249999999999995</v>
      </c>
      <c r="L70" s="2">
        <v>3.1459999999999999</v>
      </c>
      <c r="M70" s="2">
        <v>1354.5</v>
      </c>
      <c r="N70" s="2">
        <v>0</v>
      </c>
      <c r="O70" s="2">
        <v>17494.72</v>
      </c>
      <c r="P70" s="2">
        <v>0</v>
      </c>
      <c r="Q70" s="2">
        <v>17494.72</v>
      </c>
      <c r="R70" s="2" t="s">
        <v>24</v>
      </c>
      <c r="S70" s="2" t="s">
        <v>1353</v>
      </c>
    </row>
    <row r="71" spans="1:19" x14ac:dyDescent="0.25">
      <c r="A71" s="3">
        <v>68</v>
      </c>
      <c r="B71" s="3">
        <v>2023</v>
      </c>
      <c r="C71" s="3" t="s">
        <v>1370</v>
      </c>
      <c r="D71" s="3" t="s">
        <v>1425</v>
      </c>
      <c r="E71" s="3">
        <v>42361</v>
      </c>
      <c r="F71" s="3">
        <v>12</v>
      </c>
      <c r="G71" s="3">
        <v>0</v>
      </c>
      <c r="H71" s="3">
        <v>0</v>
      </c>
      <c r="I71" s="3">
        <v>700</v>
      </c>
      <c r="J71" s="3" t="s">
        <v>1370</v>
      </c>
      <c r="K71" s="3">
        <v>0.68079999999999996</v>
      </c>
      <c r="L71" s="3">
        <v>2.915</v>
      </c>
      <c r="M71" s="3">
        <v>0</v>
      </c>
      <c r="N71" s="3">
        <v>24486</v>
      </c>
      <c r="O71" s="3">
        <v>0</v>
      </c>
      <c r="P71" s="3">
        <v>1037251.45</v>
      </c>
      <c r="Q71" s="3">
        <v>1037251.45</v>
      </c>
      <c r="R71" s="3" t="s">
        <v>24</v>
      </c>
      <c r="S71" s="3" t="s">
        <v>1346</v>
      </c>
    </row>
    <row r="72" spans="1:19" x14ac:dyDescent="0.25">
      <c r="A72" s="2">
        <v>69</v>
      </c>
      <c r="B72" s="2">
        <v>2023</v>
      </c>
      <c r="C72" s="2" t="s">
        <v>1362</v>
      </c>
      <c r="D72" s="2" t="s">
        <v>1426</v>
      </c>
      <c r="E72" s="2">
        <v>18686</v>
      </c>
      <c r="F72" s="2">
        <v>20</v>
      </c>
      <c r="G72" s="2">
        <v>0</v>
      </c>
      <c r="H72" s="2">
        <v>0</v>
      </c>
      <c r="I72" s="2">
        <v>5000</v>
      </c>
      <c r="J72" s="2" t="s">
        <v>508</v>
      </c>
      <c r="K72" s="2">
        <v>0.4758</v>
      </c>
      <c r="L72" s="2">
        <v>2.8250000000000002</v>
      </c>
      <c r="M72" s="2">
        <v>0</v>
      </c>
      <c r="N72" s="2">
        <v>282500</v>
      </c>
      <c r="O72" s="2">
        <v>0</v>
      </c>
      <c r="P72" s="2">
        <v>5278795</v>
      </c>
      <c r="Q72" s="2">
        <v>5278795</v>
      </c>
      <c r="R72" s="2" t="s">
        <v>117</v>
      </c>
      <c r="S72" s="2" t="s">
        <v>1353</v>
      </c>
    </row>
    <row r="73" spans="1:19" x14ac:dyDescent="0.25">
      <c r="A73" s="3">
        <v>70</v>
      </c>
      <c r="B73" s="3">
        <v>2023</v>
      </c>
      <c r="C73" s="3" t="s">
        <v>1347</v>
      </c>
      <c r="D73" s="3" t="s">
        <v>1427</v>
      </c>
      <c r="E73" s="3">
        <v>372</v>
      </c>
      <c r="F73" s="3">
        <v>12</v>
      </c>
      <c r="G73" s="3">
        <v>2000</v>
      </c>
      <c r="H73" s="3">
        <v>24000</v>
      </c>
      <c r="I73" s="3">
        <v>0</v>
      </c>
      <c r="J73" s="3" t="s">
        <v>740</v>
      </c>
      <c r="K73" s="3">
        <v>0.77310000000000001</v>
      </c>
      <c r="L73" s="3">
        <v>2.556</v>
      </c>
      <c r="M73" s="3">
        <v>18554.400000000001</v>
      </c>
      <c r="N73" s="3">
        <v>0</v>
      </c>
      <c r="O73" s="3">
        <v>6902.24</v>
      </c>
      <c r="P73" s="3">
        <v>0</v>
      </c>
      <c r="Q73" s="3">
        <v>6902.24</v>
      </c>
      <c r="R73" s="3" t="s">
        <v>120</v>
      </c>
      <c r="S73" s="3" t="s">
        <v>1346</v>
      </c>
    </row>
    <row r="74" spans="1:19" x14ac:dyDescent="0.25">
      <c r="A74" s="2">
        <v>71</v>
      </c>
      <c r="B74" s="2">
        <v>2023</v>
      </c>
      <c r="C74" s="2" t="s">
        <v>560</v>
      </c>
      <c r="D74" s="2" t="s">
        <v>1428</v>
      </c>
      <c r="E74" s="2">
        <v>24637</v>
      </c>
      <c r="F74" s="2">
        <v>15</v>
      </c>
      <c r="G74" s="2">
        <v>1200</v>
      </c>
      <c r="H74" s="2">
        <v>18000</v>
      </c>
      <c r="I74" s="2">
        <v>0</v>
      </c>
      <c r="J74" s="2" t="s">
        <v>740</v>
      </c>
      <c r="K74" s="2">
        <v>0.74519999999999997</v>
      </c>
      <c r="L74" s="2">
        <v>2.6709999999999998</v>
      </c>
      <c r="M74" s="2">
        <v>13413.6</v>
      </c>
      <c r="N74" s="2">
        <v>0</v>
      </c>
      <c r="O74" s="2">
        <v>330470.86</v>
      </c>
      <c r="P74" s="2">
        <v>0</v>
      </c>
      <c r="Q74" s="2">
        <v>330470.86</v>
      </c>
      <c r="R74" s="2" t="s">
        <v>1349</v>
      </c>
      <c r="S74" s="2" t="s">
        <v>1350</v>
      </c>
    </row>
    <row r="75" spans="1:19" x14ac:dyDescent="0.25">
      <c r="A75" s="3">
        <v>72</v>
      </c>
      <c r="B75" s="3">
        <v>2023</v>
      </c>
      <c r="C75" s="3" t="s">
        <v>1359</v>
      </c>
      <c r="D75" s="3" t="s">
        <v>1429</v>
      </c>
      <c r="E75" s="3">
        <v>22060</v>
      </c>
      <c r="F75" s="3">
        <v>8</v>
      </c>
      <c r="G75" s="3">
        <v>40</v>
      </c>
      <c r="H75" s="3">
        <v>320</v>
      </c>
      <c r="I75" s="3">
        <v>0</v>
      </c>
      <c r="J75" s="3" t="s">
        <v>740</v>
      </c>
      <c r="K75" s="3">
        <v>0.43009999999999998</v>
      </c>
      <c r="L75" s="3">
        <v>2.7290000000000001</v>
      </c>
      <c r="M75" s="3">
        <v>137.63</v>
      </c>
      <c r="N75" s="3">
        <v>0</v>
      </c>
      <c r="O75" s="3">
        <v>3036.12</v>
      </c>
      <c r="P75" s="3">
        <v>0</v>
      </c>
      <c r="Q75" s="3">
        <v>3036.12</v>
      </c>
      <c r="R75" s="3" t="s">
        <v>1352</v>
      </c>
      <c r="S75" s="3" t="s">
        <v>1346</v>
      </c>
    </row>
    <row r="76" spans="1:19" x14ac:dyDescent="0.25">
      <c r="A76" s="2">
        <v>73</v>
      </c>
      <c r="B76" s="2">
        <v>2023</v>
      </c>
      <c r="C76" s="2" t="s">
        <v>1362</v>
      </c>
      <c r="D76" s="2" t="s">
        <v>1430</v>
      </c>
      <c r="E76" s="2">
        <v>25748</v>
      </c>
      <c r="F76" s="2">
        <v>20</v>
      </c>
      <c r="G76" s="2">
        <v>0</v>
      </c>
      <c r="H76" s="2">
        <v>0</v>
      </c>
      <c r="I76" s="2">
        <v>5000</v>
      </c>
      <c r="J76" s="2" t="s">
        <v>1370</v>
      </c>
      <c r="K76" s="2">
        <v>0.44059999999999999</v>
      </c>
      <c r="L76" s="2">
        <v>2.8090000000000002</v>
      </c>
      <c r="M76" s="2">
        <v>0</v>
      </c>
      <c r="N76" s="2">
        <v>280900</v>
      </c>
      <c r="O76" s="2">
        <v>0</v>
      </c>
      <c r="P76" s="2">
        <v>7232613.2000000002</v>
      </c>
      <c r="Q76" s="2">
        <v>7232613.2000000002</v>
      </c>
      <c r="R76" s="2" t="s">
        <v>117</v>
      </c>
      <c r="S76" s="2" t="s">
        <v>1350</v>
      </c>
    </row>
    <row r="77" spans="1:19" x14ac:dyDescent="0.25">
      <c r="A77" s="3">
        <v>74</v>
      </c>
      <c r="B77" s="3">
        <v>2023</v>
      </c>
      <c r="C77" s="3" t="s">
        <v>1370</v>
      </c>
      <c r="D77" s="3" t="s">
        <v>1431</v>
      </c>
      <c r="E77" s="3">
        <v>8545</v>
      </c>
      <c r="F77" s="3">
        <v>12</v>
      </c>
      <c r="G77" s="3">
        <v>0</v>
      </c>
      <c r="H77" s="3">
        <v>0</v>
      </c>
      <c r="I77" s="3">
        <v>700</v>
      </c>
      <c r="J77" s="3" t="s">
        <v>525</v>
      </c>
      <c r="K77" s="3">
        <v>0.79149999999999998</v>
      </c>
      <c r="L77" s="3">
        <v>2.5289999999999999</v>
      </c>
      <c r="M77" s="3">
        <v>0</v>
      </c>
      <c r="N77" s="3">
        <v>21243.599999999999</v>
      </c>
      <c r="O77" s="3">
        <v>0</v>
      </c>
      <c r="P77" s="3">
        <v>181526.56</v>
      </c>
      <c r="Q77" s="3">
        <v>181526.56</v>
      </c>
      <c r="R77" s="3" t="s">
        <v>1352</v>
      </c>
      <c r="S77" s="3" t="s">
        <v>1353</v>
      </c>
    </row>
    <row r="78" spans="1:19" x14ac:dyDescent="0.25">
      <c r="A78" s="2">
        <v>75</v>
      </c>
      <c r="B78" s="2">
        <v>2023</v>
      </c>
      <c r="C78" s="2" t="s">
        <v>1362</v>
      </c>
      <c r="D78" s="2" t="s">
        <v>1432</v>
      </c>
      <c r="E78" s="2">
        <v>10483</v>
      </c>
      <c r="F78" s="2">
        <v>20</v>
      </c>
      <c r="G78" s="2">
        <v>0</v>
      </c>
      <c r="H78" s="2">
        <v>0</v>
      </c>
      <c r="I78" s="2">
        <v>5000</v>
      </c>
      <c r="J78" s="2" t="s">
        <v>525</v>
      </c>
      <c r="K78" s="2">
        <v>0.55559999999999998</v>
      </c>
      <c r="L78" s="2">
        <v>2.21</v>
      </c>
      <c r="M78" s="2">
        <v>0</v>
      </c>
      <c r="N78" s="2">
        <v>221000</v>
      </c>
      <c r="O78" s="2">
        <v>0</v>
      </c>
      <c r="P78" s="2">
        <v>2316743</v>
      </c>
      <c r="Q78" s="2">
        <v>2316743</v>
      </c>
      <c r="R78" s="2" t="s">
        <v>1364</v>
      </c>
      <c r="S78" s="2" t="s">
        <v>1346</v>
      </c>
    </row>
    <row r="79" spans="1:19" x14ac:dyDescent="0.25">
      <c r="A79" s="3">
        <v>76</v>
      </c>
      <c r="B79" s="3">
        <v>2023</v>
      </c>
      <c r="C79" s="3" t="s">
        <v>503</v>
      </c>
      <c r="D79" s="3" t="s">
        <v>1433</v>
      </c>
      <c r="E79" s="3">
        <v>25790</v>
      </c>
      <c r="F79" s="3">
        <v>15</v>
      </c>
      <c r="G79" s="3">
        <v>1800</v>
      </c>
      <c r="H79" s="3">
        <v>27000</v>
      </c>
      <c r="I79" s="3">
        <v>0</v>
      </c>
      <c r="J79" s="3" t="s">
        <v>740</v>
      </c>
      <c r="K79" s="3">
        <v>0.74619999999999997</v>
      </c>
      <c r="L79" s="3">
        <v>2.79</v>
      </c>
      <c r="M79" s="3">
        <v>20147.400000000001</v>
      </c>
      <c r="N79" s="3">
        <v>0</v>
      </c>
      <c r="O79" s="3">
        <v>519601.45</v>
      </c>
      <c r="P79" s="3">
        <v>0</v>
      </c>
      <c r="Q79" s="3">
        <v>519601.45</v>
      </c>
      <c r="R79" s="3" t="s">
        <v>24</v>
      </c>
      <c r="S79" s="3" t="s">
        <v>1350</v>
      </c>
    </row>
    <row r="80" spans="1:19" x14ac:dyDescent="0.25">
      <c r="A80" s="2">
        <v>77</v>
      </c>
      <c r="B80" s="2">
        <v>2023</v>
      </c>
      <c r="C80" s="2" t="s">
        <v>560</v>
      </c>
      <c r="D80" s="2" t="s">
        <v>1434</v>
      </c>
      <c r="E80" s="2">
        <v>21229</v>
      </c>
      <c r="F80" s="2">
        <v>15</v>
      </c>
      <c r="G80" s="2">
        <v>1200</v>
      </c>
      <c r="H80" s="2">
        <v>18000</v>
      </c>
      <c r="I80" s="2">
        <v>0</v>
      </c>
      <c r="J80" s="2" t="s">
        <v>740</v>
      </c>
      <c r="K80" s="2">
        <v>0.44579999999999997</v>
      </c>
      <c r="L80" s="2">
        <v>2.2029999999999998</v>
      </c>
      <c r="M80" s="2">
        <v>8024.4</v>
      </c>
      <c r="N80" s="2">
        <v>0</v>
      </c>
      <c r="O80" s="2">
        <v>170349.99</v>
      </c>
      <c r="P80" s="2">
        <v>0</v>
      </c>
      <c r="Q80" s="2">
        <v>170349.99</v>
      </c>
      <c r="R80" s="2" t="s">
        <v>1352</v>
      </c>
      <c r="S80" s="2" t="s">
        <v>1346</v>
      </c>
    </row>
    <row r="81" spans="1:19" x14ac:dyDescent="0.25">
      <c r="A81" s="3">
        <v>78</v>
      </c>
      <c r="B81" s="3">
        <v>2023</v>
      </c>
      <c r="C81" s="3" t="s">
        <v>503</v>
      </c>
      <c r="D81" s="3" t="s">
        <v>1435</v>
      </c>
      <c r="E81" s="3">
        <v>10130</v>
      </c>
      <c r="F81" s="3">
        <v>15</v>
      </c>
      <c r="G81" s="3">
        <v>1800</v>
      </c>
      <c r="H81" s="3">
        <v>27000</v>
      </c>
      <c r="I81" s="3">
        <v>0</v>
      </c>
      <c r="J81" s="3" t="s">
        <v>740</v>
      </c>
      <c r="K81" s="3">
        <v>0.36309999999999998</v>
      </c>
      <c r="L81" s="3">
        <v>2.8780000000000001</v>
      </c>
      <c r="M81" s="3">
        <v>9803.7000000000007</v>
      </c>
      <c r="N81" s="3">
        <v>0</v>
      </c>
      <c r="O81" s="3">
        <v>99311.48</v>
      </c>
      <c r="P81" s="3">
        <v>0</v>
      </c>
      <c r="Q81" s="3">
        <v>99311.48</v>
      </c>
      <c r="R81" s="3" t="s">
        <v>120</v>
      </c>
      <c r="S81" s="3" t="s">
        <v>1350</v>
      </c>
    </row>
    <row r="82" spans="1:19" x14ac:dyDescent="0.25">
      <c r="A82" s="2">
        <v>79</v>
      </c>
      <c r="B82" s="2">
        <v>2023</v>
      </c>
      <c r="C82" s="2" t="s">
        <v>1370</v>
      </c>
      <c r="D82" s="2" t="s">
        <v>1436</v>
      </c>
      <c r="E82" s="2">
        <v>1757</v>
      </c>
      <c r="F82" s="2">
        <v>12</v>
      </c>
      <c r="G82" s="2">
        <v>0</v>
      </c>
      <c r="H82" s="2">
        <v>0</v>
      </c>
      <c r="I82" s="2">
        <v>700</v>
      </c>
      <c r="J82" s="2" t="s">
        <v>514</v>
      </c>
      <c r="K82" s="2">
        <v>0.69889999999999997</v>
      </c>
      <c r="L82" s="2">
        <v>2.2440000000000002</v>
      </c>
      <c r="M82" s="2">
        <v>0</v>
      </c>
      <c r="N82" s="2">
        <v>18849.599999999999</v>
      </c>
      <c r="O82" s="2">
        <v>0</v>
      </c>
      <c r="P82" s="2">
        <v>33118.75</v>
      </c>
      <c r="Q82" s="2">
        <v>33118.75</v>
      </c>
      <c r="R82" s="2" t="s">
        <v>1349</v>
      </c>
      <c r="S82" s="2" t="s">
        <v>1350</v>
      </c>
    </row>
    <row r="83" spans="1:19" x14ac:dyDescent="0.25">
      <c r="A83" s="3">
        <v>80</v>
      </c>
      <c r="B83" s="3">
        <v>2023</v>
      </c>
      <c r="C83" s="3" t="s">
        <v>1359</v>
      </c>
      <c r="D83" s="3" t="s">
        <v>1437</v>
      </c>
      <c r="E83" s="3">
        <v>12326</v>
      </c>
      <c r="F83" s="3">
        <v>8</v>
      </c>
      <c r="G83" s="3">
        <v>40</v>
      </c>
      <c r="H83" s="3">
        <v>320</v>
      </c>
      <c r="I83" s="3">
        <v>0</v>
      </c>
      <c r="J83" s="3" t="s">
        <v>740</v>
      </c>
      <c r="K83" s="3">
        <v>0.4627</v>
      </c>
      <c r="L83" s="3">
        <v>3.0880000000000001</v>
      </c>
      <c r="M83" s="3">
        <v>148.06</v>
      </c>
      <c r="N83" s="3">
        <v>0</v>
      </c>
      <c r="O83" s="3">
        <v>1824.99</v>
      </c>
      <c r="P83" s="3">
        <v>0</v>
      </c>
      <c r="Q83" s="3">
        <v>1824.99</v>
      </c>
      <c r="R83" s="3" t="s">
        <v>24</v>
      </c>
      <c r="S83" s="3" t="s">
        <v>1346</v>
      </c>
    </row>
    <row r="84" spans="1:19" x14ac:dyDescent="0.25">
      <c r="A84" s="2">
        <v>81</v>
      </c>
      <c r="B84" s="2">
        <v>2023</v>
      </c>
      <c r="C84" s="2" t="s">
        <v>1362</v>
      </c>
      <c r="D84" s="2" t="s">
        <v>1438</v>
      </c>
      <c r="E84" s="2">
        <v>16172</v>
      </c>
      <c r="F84" s="2">
        <v>20</v>
      </c>
      <c r="G84" s="2">
        <v>0</v>
      </c>
      <c r="H84" s="2">
        <v>0</v>
      </c>
      <c r="I84" s="2">
        <v>5000</v>
      </c>
      <c r="J84" s="2" t="s">
        <v>514</v>
      </c>
      <c r="K84" s="2">
        <v>0.69140000000000001</v>
      </c>
      <c r="L84" s="2">
        <v>2.988</v>
      </c>
      <c r="M84" s="2">
        <v>0</v>
      </c>
      <c r="N84" s="2">
        <v>298800</v>
      </c>
      <c r="O84" s="2">
        <v>0</v>
      </c>
      <c r="P84" s="2">
        <v>4832193.5999999996</v>
      </c>
      <c r="Q84" s="2">
        <v>4832193.5999999996</v>
      </c>
      <c r="R84" s="2" t="s">
        <v>117</v>
      </c>
      <c r="S84" s="2" t="s">
        <v>1353</v>
      </c>
    </row>
    <row r="85" spans="1:19" ht="24" x14ac:dyDescent="0.25">
      <c r="A85" s="3">
        <v>82</v>
      </c>
      <c r="B85" s="3">
        <v>2023</v>
      </c>
      <c r="C85" s="3" t="s">
        <v>1354</v>
      </c>
      <c r="D85" s="3" t="s">
        <v>1439</v>
      </c>
      <c r="E85" s="3">
        <v>18120</v>
      </c>
      <c r="F85" s="3">
        <v>10</v>
      </c>
      <c r="G85" s="3">
        <v>400</v>
      </c>
      <c r="H85" s="3">
        <v>4000</v>
      </c>
      <c r="I85" s="3">
        <v>0</v>
      </c>
      <c r="J85" s="3" t="s">
        <v>740</v>
      </c>
      <c r="K85" s="3">
        <v>0.38900000000000001</v>
      </c>
      <c r="L85" s="3">
        <v>2.258</v>
      </c>
      <c r="M85" s="3">
        <v>1556</v>
      </c>
      <c r="N85" s="3">
        <v>0</v>
      </c>
      <c r="O85" s="3">
        <v>28194.720000000001</v>
      </c>
      <c r="P85" s="3">
        <v>0</v>
      </c>
      <c r="Q85" s="3">
        <v>28194.720000000001</v>
      </c>
      <c r="R85" s="3" t="s">
        <v>120</v>
      </c>
      <c r="S85" s="3" t="s">
        <v>1350</v>
      </c>
    </row>
    <row r="86" spans="1:19" x14ac:dyDescent="0.25">
      <c r="A86" s="2">
        <v>83</v>
      </c>
      <c r="B86" s="2">
        <v>2023</v>
      </c>
      <c r="C86" s="2" t="s">
        <v>503</v>
      </c>
      <c r="D86" s="2" t="s">
        <v>1440</v>
      </c>
      <c r="E86" s="2">
        <v>6877</v>
      </c>
      <c r="F86" s="2">
        <v>15</v>
      </c>
      <c r="G86" s="2">
        <v>1800</v>
      </c>
      <c r="H86" s="2">
        <v>27000</v>
      </c>
      <c r="I86" s="2">
        <v>0</v>
      </c>
      <c r="J86" s="2" t="s">
        <v>740</v>
      </c>
      <c r="K86" s="2">
        <v>0.40210000000000001</v>
      </c>
      <c r="L86" s="2">
        <v>3.12</v>
      </c>
      <c r="M86" s="2">
        <v>10856.7</v>
      </c>
      <c r="N86" s="2">
        <v>0</v>
      </c>
      <c r="O86" s="2">
        <v>74661.53</v>
      </c>
      <c r="P86" s="2">
        <v>0</v>
      </c>
      <c r="Q86" s="2">
        <v>74661.53</v>
      </c>
      <c r="R86" s="2" t="s">
        <v>120</v>
      </c>
      <c r="S86" s="2" t="s">
        <v>1346</v>
      </c>
    </row>
    <row r="87" spans="1:19" x14ac:dyDescent="0.25">
      <c r="A87" s="3">
        <v>84</v>
      </c>
      <c r="B87" s="3">
        <v>2023</v>
      </c>
      <c r="C87" s="3" t="s">
        <v>560</v>
      </c>
      <c r="D87" s="3" t="s">
        <v>1441</v>
      </c>
      <c r="E87" s="3">
        <v>18611</v>
      </c>
      <c r="F87" s="3">
        <v>15</v>
      </c>
      <c r="G87" s="3">
        <v>1200</v>
      </c>
      <c r="H87" s="3">
        <v>18000</v>
      </c>
      <c r="I87" s="3">
        <v>0</v>
      </c>
      <c r="J87" s="3" t="s">
        <v>740</v>
      </c>
      <c r="K87" s="3">
        <v>0.47310000000000002</v>
      </c>
      <c r="L87" s="3">
        <v>2.2989999999999999</v>
      </c>
      <c r="M87" s="3">
        <v>8515.7999999999993</v>
      </c>
      <c r="N87" s="3">
        <v>0</v>
      </c>
      <c r="O87" s="3">
        <v>158487.54999999999</v>
      </c>
      <c r="P87" s="3">
        <v>0</v>
      </c>
      <c r="Q87" s="3">
        <v>158487.54999999999</v>
      </c>
      <c r="R87" s="3" t="s">
        <v>120</v>
      </c>
      <c r="S87" s="3" t="s">
        <v>1353</v>
      </c>
    </row>
    <row r="88" spans="1:19" x14ac:dyDescent="0.25">
      <c r="A88" s="2">
        <v>85</v>
      </c>
      <c r="B88" s="2">
        <v>2023</v>
      </c>
      <c r="C88" s="2" t="s">
        <v>1359</v>
      </c>
      <c r="D88" s="2" t="s">
        <v>1442</v>
      </c>
      <c r="E88" s="2">
        <v>13729</v>
      </c>
      <c r="F88" s="2">
        <v>8</v>
      </c>
      <c r="G88" s="2">
        <v>40</v>
      </c>
      <c r="H88" s="2">
        <v>320</v>
      </c>
      <c r="I88" s="2">
        <v>0</v>
      </c>
      <c r="J88" s="2" t="s">
        <v>740</v>
      </c>
      <c r="K88" s="2">
        <v>0.53369999999999995</v>
      </c>
      <c r="L88" s="2">
        <v>2.64</v>
      </c>
      <c r="M88" s="2">
        <v>170.78</v>
      </c>
      <c r="N88" s="2">
        <v>0</v>
      </c>
      <c r="O88" s="2">
        <v>2344.64</v>
      </c>
      <c r="P88" s="2">
        <v>0</v>
      </c>
      <c r="Q88" s="2">
        <v>2344.64</v>
      </c>
      <c r="R88" s="2" t="s">
        <v>120</v>
      </c>
      <c r="S88" s="2" t="s">
        <v>1353</v>
      </c>
    </row>
    <row r="89" spans="1:19" x14ac:dyDescent="0.25">
      <c r="A89" s="3">
        <v>86</v>
      </c>
      <c r="B89" s="3">
        <v>2023</v>
      </c>
      <c r="C89" s="3" t="s">
        <v>1372</v>
      </c>
      <c r="D89" s="3" t="s">
        <v>1443</v>
      </c>
      <c r="E89" s="3">
        <v>31984</v>
      </c>
      <c r="F89" s="3">
        <v>12</v>
      </c>
      <c r="G89" s="3">
        <v>150</v>
      </c>
      <c r="H89" s="3">
        <v>1800</v>
      </c>
      <c r="I89" s="3">
        <v>0</v>
      </c>
      <c r="J89" s="3" t="s">
        <v>740</v>
      </c>
      <c r="K89" s="3">
        <v>0.80079999999999996</v>
      </c>
      <c r="L89" s="3">
        <v>2.1840000000000002</v>
      </c>
      <c r="M89" s="3">
        <v>1441.44</v>
      </c>
      <c r="N89" s="3">
        <v>0</v>
      </c>
      <c r="O89" s="3">
        <v>46103.02</v>
      </c>
      <c r="P89" s="3">
        <v>0</v>
      </c>
      <c r="Q89" s="3">
        <v>46103.02</v>
      </c>
      <c r="R89" s="3" t="s">
        <v>1349</v>
      </c>
      <c r="S89" s="3" t="s">
        <v>1353</v>
      </c>
    </row>
    <row r="90" spans="1:19" x14ac:dyDescent="0.25">
      <c r="A90" s="2">
        <v>87</v>
      </c>
      <c r="B90" s="2">
        <v>2023</v>
      </c>
      <c r="C90" s="2" t="s">
        <v>1370</v>
      </c>
      <c r="D90" s="2" t="s">
        <v>1444</v>
      </c>
      <c r="E90" s="2">
        <v>20651</v>
      </c>
      <c r="F90" s="2">
        <v>12</v>
      </c>
      <c r="G90" s="2">
        <v>0</v>
      </c>
      <c r="H90" s="2">
        <v>0</v>
      </c>
      <c r="I90" s="2">
        <v>700</v>
      </c>
      <c r="J90" s="2" t="s">
        <v>525</v>
      </c>
      <c r="K90" s="2">
        <v>0.64780000000000004</v>
      </c>
      <c r="L90" s="2">
        <v>2.5960000000000001</v>
      </c>
      <c r="M90" s="2">
        <v>0</v>
      </c>
      <c r="N90" s="2">
        <v>21806.400000000001</v>
      </c>
      <c r="O90" s="2">
        <v>0</v>
      </c>
      <c r="P90" s="2">
        <v>450323.97</v>
      </c>
      <c r="Q90" s="2">
        <v>450323.97</v>
      </c>
      <c r="R90" s="2" t="s">
        <v>1345</v>
      </c>
      <c r="S90" s="2" t="s">
        <v>1353</v>
      </c>
    </row>
    <row r="91" spans="1:19" ht="24" x14ac:dyDescent="0.25">
      <c r="A91" s="3">
        <v>88</v>
      </c>
      <c r="B91" s="3">
        <v>2023</v>
      </c>
      <c r="C91" s="3" t="s">
        <v>1354</v>
      </c>
      <c r="D91" s="3" t="s">
        <v>1445</v>
      </c>
      <c r="E91" s="3">
        <v>11809</v>
      </c>
      <c r="F91" s="3">
        <v>10</v>
      </c>
      <c r="G91" s="3">
        <v>400</v>
      </c>
      <c r="H91" s="3">
        <v>4000</v>
      </c>
      <c r="I91" s="3">
        <v>0</v>
      </c>
      <c r="J91" s="3" t="s">
        <v>740</v>
      </c>
      <c r="K91" s="3">
        <v>0.66</v>
      </c>
      <c r="L91" s="3">
        <v>2.794</v>
      </c>
      <c r="M91" s="3">
        <v>2640</v>
      </c>
      <c r="N91" s="3">
        <v>0</v>
      </c>
      <c r="O91" s="3">
        <v>31175.759999999998</v>
      </c>
      <c r="P91" s="3">
        <v>0</v>
      </c>
      <c r="Q91" s="3">
        <v>31175.759999999998</v>
      </c>
      <c r="R91" s="3" t="s">
        <v>117</v>
      </c>
      <c r="S91" s="3" t="s">
        <v>1346</v>
      </c>
    </row>
    <row r="92" spans="1:19" x14ac:dyDescent="0.25">
      <c r="A92" s="2">
        <v>89</v>
      </c>
      <c r="B92" s="2">
        <v>2023</v>
      </c>
      <c r="C92" s="2" t="s">
        <v>1372</v>
      </c>
      <c r="D92" s="2" t="s">
        <v>1446</v>
      </c>
      <c r="E92" s="2">
        <v>22566</v>
      </c>
      <c r="F92" s="2">
        <v>12</v>
      </c>
      <c r="G92" s="2">
        <v>150</v>
      </c>
      <c r="H92" s="2">
        <v>1800</v>
      </c>
      <c r="I92" s="2">
        <v>0</v>
      </c>
      <c r="J92" s="2" t="s">
        <v>740</v>
      </c>
      <c r="K92" s="2">
        <v>0.81710000000000005</v>
      </c>
      <c r="L92" s="2">
        <v>2.6320000000000001</v>
      </c>
      <c r="M92" s="2">
        <v>1470.78</v>
      </c>
      <c r="N92" s="2">
        <v>0</v>
      </c>
      <c r="O92" s="2">
        <v>33189.620000000003</v>
      </c>
      <c r="P92" s="2">
        <v>0</v>
      </c>
      <c r="Q92" s="2">
        <v>33189.620000000003</v>
      </c>
      <c r="R92" s="2" t="s">
        <v>1364</v>
      </c>
      <c r="S92" s="2" t="s">
        <v>1350</v>
      </c>
    </row>
    <row r="93" spans="1:19" x14ac:dyDescent="0.25">
      <c r="A93" s="3">
        <v>90</v>
      </c>
      <c r="B93" s="3">
        <v>2023</v>
      </c>
      <c r="C93" s="3" t="s">
        <v>1362</v>
      </c>
      <c r="D93" s="3" t="s">
        <v>1447</v>
      </c>
      <c r="E93" s="3">
        <v>428</v>
      </c>
      <c r="F93" s="3">
        <v>20</v>
      </c>
      <c r="G93" s="3">
        <v>0</v>
      </c>
      <c r="H93" s="3">
        <v>0</v>
      </c>
      <c r="I93" s="3">
        <v>5000</v>
      </c>
      <c r="J93" s="3" t="s">
        <v>1370</v>
      </c>
      <c r="K93" s="3">
        <v>0.4244</v>
      </c>
      <c r="L93" s="3">
        <v>2.9159999999999999</v>
      </c>
      <c r="M93" s="3">
        <v>0</v>
      </c>
      <c r="N93" s="3">
        <v>291600</v>
      </c>
      <c r="O93" s="3">
        <v>0</v>
      </c>
      <c r="P93" s="3">
        <v>124804.8</v>
      </c>
      <c r="Q93" s="3">
        <v>124804.8</v>
      </c>
      <c r="R93" s="3" t="s">
        <v>1345</v>
      </c>
      <c r="S93" s="3" t="s">
        <v>1350</v>
      </c>
    </row>
    <row r="94" spans="1:19" ht="24" x14ac:dyDescent="0.25">
      <c r="A94" s="2">
        <v>91</v>
      </c>
      <c r="B94" s="2">
        <v>2023</v>
      </c>
      <c r="C94" s="2" t="s">
        <v>1354</v>
      </c>
      <c r="D94" s="2" t="s">
        <v>1448</v>
      </c>
      <c r="E94" s="2">
        <v>35224</v>
      </c>
      <c r="F94" s="2">
        <v>10</v>
      </c>
      <c r="G94" s="2">
        <v>400</v>
      </c>
      <c r="H94" s="2">
        <v>4000</v>
      </c>
      <c r="I94" s="2">
        <v>0</v>
      </c>
      <c r="J94" s="2" t="s">
        <v>740</v>
      </c>
      <c r="K94" s="2">
        <v>0.36080000000000001</v>
      </c>
      <c r="L94" s="2">
        <v>2.6629999999999998</v>
      </c>
      <c r="M94" s="2">
        <v>1443.2</v>
      </c>
      <c r="N94" s="2">
        <v>0</v>
      </c>
      <c r="O94" s="2">
        <v>50835.28</v>
      </c>
      <c r="P94" s="2">
        <v>0</v>
      </c>
      <c r="Q94" s="2">
        <v>50835.28</v>
      </c>
      <c r="R94" s="2" t="s">
        <v>1345</v>
      </c>
      <c r="S94" s="2" t="s">
        <v>1346</v>
      </c>
    </row>
    <row r="95" spans="1:19" x14ac:dyDescent="0.25">
      <c r="A95" s="3">
        <v>92</v>
      </c>
      <c r="B95" s="3">
        <v>2023</v>
      </c>
      <c r="C95" s="3" t="s">
        <v>1359</v>
      </c>
      <c r="D95" s="3" t="s">
        <v>1449</v>
      </c>
      <c r="E95" s="3">
        <v>7622</v>
      </c>
      <c r="F95" s="3">
        <v>8</v>
      </c>
      <c r="G95" s="3">
        <v>40</v>
      </c>
      <c r="H95" s="3">
        <v>320</v>
      </c>
      <c r="I95" s="3">
        <v>0</v>
      </c>
      <c r="J95" s="3" t="s">
        <v>740</v>
      </c>
      <c r="K95" s="3">
        <v>0.77229999999999999</v>
      </c>
      <c r="L95" s="3">
        <v>2.1320000000000001</v>
      </c>
      <c r="M95" s="3">
        <v>247.14</v>
      </c>
      <c r="N95" s="3">
        <v>0</v>
      </c>
      <c r="O95" s="3">
        <v>1883.7</v>
      </c>
      <c r="P95" s="3">
        <v>0</v>
      </c>
      <c r="Q95" s="3">
        <v>1883.7</v>
      </c>
      <c r="R95" s="3" t="s">
        <v>1345</v>
      </c>
      <c r="S95" s="3" t="s">
        <v>1346</v>
      </c>
    </row>
    <row r="96" spans="1:19" x14ac:dyDescent="0.25">
      <c r="A96" s="2">
        <v>93</v>
      </c>
      <c r="B96" s="2">
        <v>2023</v>
      </c>
      <c r="C96" s="2" t="s">
        <v>1372</v>
      </c>
      <c r="D96" s="2" t="s">
        <v>1450</v>
      </c>
      <c r="E96" s="2">
        <v>47793</v>
      </c>
      <c r="F96" s="2">
        <v>12</v>
      </c>
      <c r="G96" s="2">
        <v>150</v>
      </c>
      <c r="H96" s="2">
        <v>1800</v>
      </c>
      <c r="I96" s="2">
        <v>0</v>
      </c>
      <c r="J96" s="2" t="s">
        <v>740</v>
      </c>
      <c r="K96" s="2">
        <v>0.67510000000000003</v>
      </c>
      <c r="L96" s="2">
        <v>2.2389999999999999</v>
      </c>
      <c r="M96" s="2">
        <v>1215.18</v>
      </c>
      <c r="N96" s="2">
        <v>0</v>
      </c>
      <c r="O96" s="2">
        <v>58077.1</v>
      </c>
      <c r="P96" s="2">
        <v>0</v>
      </c>
      <c r="Q96" s="2">
        <v>58077.1</v>
      </c>
      <c r="R96" s="2" t="s">
        <v>24</v>
      </c>
      <c r="S96" s="2" t="s">
        <v>1353</v>
      </c>
    </row>
    <row r="97" spans="1:19" x14ac:dyDescent="0.25">
      <c r="A97" s="3">
        <v>94</v>
      </c>
      <c r="B97" s="3">
        <v>2023</v>
      </c>
      <c r="C97" s="3" t="s">
        <v>1347</v>
      </c>
      <c r="D97" s="3" t="s">
        <v>1451</v>
      </c>
      <c r="E97" s="3">
        <v>6127</v>
      </c>
      <c r="F97" s="3">
        <v>12</v>
      </c>
      <c r="G97" s="3">
        <v>2000</v>
      </c>
      <c r="H97" s="3">
        <v>24000</v>
      </c>
      <c r="I97" s="3">
        <v>0</v>
      </c>
      <c r="J97" s="3" t="s">
        <v>740</v>
      </c>
      <c r="K97" s="3">
        <v>0.51380000000000003</v>
      </c>
      <c r="L97" s="3">
        <v>2.7069999999999999</v>
      </c>
      <c r="M97" s="3">
        <v>12331.2</v>
      </c>
      <c r="N97" s="3">
        <v>0</v>
      </c>
      <c r="O97" s="3">
        <v>75553.259999999995</v>
      </c>
      <c r="P97" s="3">
        <v>0</v>
      </c>
      <c r="Q97" s="3">
        <v>75553.259999999995</v>
      </c>
      <c r="R97" s="3" t="s">
        <v>24</v>
      </c>
      <c r="S97" s="3" t="s">
        <v>1353</v>
      </c>
    </row>
    <row r="98" spans="1:19" x14ac:dyDescent="0.25">
      <c r="A98" s="2">
        <v>95</v>
      </c>
      <c r="B98" s="2">
        <v>2023</v>
      </c>
      <c r="C98" s="2" t="s">
        <v>525</v>
      </c>
      <c r="D98" s="2" t="s">
        <v>1452</v>
      </c>
      <c r="E98" s="2">
        <v>28677</v>
      </c>
      <c r="F98" s="2">
        <v>8</v>
      </c>
      <c r="G98" s="2">
        <v>0</v>
      </c>
      <c r="H98" s="2">
        <v>0</v>
      </c>
      <c r="I98" s="2">
        <v>1200</v>
      </c>
      <c r="J98" s="2" t="s">
        <v>525</v>
      </c>
      <c r="K98" s="2">
        <v>0.59089999999999998</v>
      </c>
      <c r="L98" s="2">
        <v>2.54</v>
      </c>
      <c r="M98" s="2">
        <v>0</v>
      </c>
      <c r="N98" s="2">
        <v>24384</v>
      </c>
      <c r="O98" s="2">
        <v>0</v>
      </c>
      <c r="P98" s="2">
        <v>699259.97</v>
      </c>
      <c r="Q98" s="2">
        <v>699259.97</v>
      </c>
      <c r="R98" s="2" t="s">
        <v>24</v>
      </c>
      <c r="S98" s="2" t="s">
        <v>1346</v>
      </c>
    </row>
    <row r="99" spans="1:19" x14ac:dyDescent="0.25">
      <c r="A99" s="3">
        <v>96</v>
      </c>
      <c r="B99" s="3">
        <v>2023</v>
      </c>
      <c r="C99" s="3" t="s">
        <v>1347</v>
      </c>
      <c r="D99" s="3" t="s">
        <v>1453</v>
      </c>
      <c r="E99" s="3">
        <v>45126</v>
      </c>
      <c r="F99" s="3">
        <v>12</v>
      </c>
      <c r="G99" s="3">
        <v>2000</v>
      </c>
      <c r="H99" s="3">
        <v>24000</v>
      </c>
      <c r="I99" s="3">
        <v>0</v>
      </c>
      <c r="J99" s="3" t="s">
        <v>740</v>
      </c>
      <c r="K99" s="3">
        <v>0.74760000000000004</v>
      </c>
      <c r="L99" s="3">
        <v>2.8889999999999998</v>
      </c>
      <c r="M99" s="3">
        <v>17942.400000000001</v>
      </c>
      <c r="N99" s="3">
        <v>0</v>
      </c>
      <c r="O99" s="3">
        <v>809668.74</v>
      </c>
      <c r="P99" s="3">
        <v>0</v>
      </c>
      <c r="Q99" s="3">
        <v>809668.74</v>
      </c>
      <c r="R99" s="3" t="s">
        <v>1352</v>
      </c>
      <c r="S99" s="3" t="s">
        <v>1346</v>
      </c>
    </row>
    <row r="100" spans="1:19" x14ac:dyDescent="0.25">
      <c r="A100" s="2">
        <v>97</v>
      </c>
      <c r="B100" s="2">
        <v>2023</v>
      </c>
      <c r="C100" s="2" t="s">
        <v>503</v>
      </c>
      <c r="D100" s="2" t="s">
        <v>1454</v>
      </c>
      <c r="E100" s="2">
        <v>38607</v>
      </c>
      <c r="F100" s="2">
        <v>15</v>
      </c>
      <c r="G100" s="2">
        <v>1800</v>
      </c>
      <c r="H100" s="2">
        <v>27000</v>
      </c>
      <c r="I100" s="2">
        <v>0</v>
      </c>
      <c r="J100" s="2" t="s">
        <v>740</v>
      </c>
      <c r="K100" s="2">
        <v>0.49640000000000001</v>
      </c>
      <c r="L100" s="2">
        <v>2.9740000000000002</v>
      </c>
      <c r="M100" s="2">
        <v>13402.8</v>
      </c>
      <c r="N100" s="2">
        <v>0</v>
      </c>
      <c r="O100" s="2">
        <v>517441.9</v>
      </c>
      <c r="P100" s="2">
        <v>0</v>
      </c>
      <c r="Q100" s="2">
        <v>517441.9</v>
      </c>
      <c r="R100" s="2" t="s">
        <v>1349</v>
      </c>
      <c r="S100" s="2" t="s">
        <v>1353</v>
      </c>
    </row>
    <row r="101" spans="1:19" x14ac:dyDescent="0.25">
      <c r="A101" s="3">
        <v>98</v>
      </c>
      <c r="B101" s="3">
        <v>2023</v>
      </c>
      <c r="C101" s="3" t="s">
        <v>1370</v>
      </c>
      <c r="D101" s="3" t="s">
        <v>1455</v>
      </c>
      <c r="E101" s="3">
        <v>29339</v>
      </c>
      <c r="F101" s="3">
        <v>12</v>
      </c>
      <c r="G101" s="3">
        <v>0</v>
      </c>
      <c r="H101" s="3">
        <v>0</v>
      </c>
      <c r="I101" s="3">
        <v>700</v>
      </c>
      <c r="J101" s="3" t="s">
        <v>508</v>
      </c>
      <c r="K101" s="3">
        <v>0.54920000000000002</v>
      </c>
      <c r="L101" s="3">
        <v>2.9220000000000002</v>
      </c>
      <c r="M101" s="3">
        <v>0</v>
      </c>
      <c r="N101" s="3">
        <v>24544.799999999999</v>
      </c>
      <c r="O101" s="3">
        <v>0</v>
      </c>
      <c r="P101" s="3">
        <v>720119.89</v>
      </c>
      <c r="Q101" s="3">
        <v>720119.89</v>
      </c>
      <c r="R101" s="3" t="s">
        <v>1364</v>
      </c>
      <c r="S101" s="3" t="s">
        <v>1346</v>
      </c>
    </row>
    <row r="102" spans="1:19" x14ac:dyDescent="0.25">
      <c r="A102" s="2">
        <v>99</v>
      </c>
      <c r="B102" s="2">
        <v>2023</v>
      </c>
      <c r="C102" s="2" t="s">
        <v>503</v>
      </c>
      <c r="D102" s="2" t="s">
        <v>1456</v>
      </c>
      <c r="E102" s="2">
        <v>25203</v>
      </c>
      <c r="F102" s="2">
        <v>15</v>
      </c>
      <c r="G102" s="2">
        <v>1800</v>
      </c>
      <c r="H102" s="2">
        <v>27000</v>
      </c>
      <c r="I102" s="2">
        <v>0</v>
      </c>
      <c r="J102" s="2" t="s">
        <v>740</v>
      </c>
      <c r="K102" s="2">
        <v>0.55179999999999996</v>
      </c>
      <c r="L102" s="2">
        <v>2.7240000000000002</v>
      </c>
      <c r="M102" s="2">
        <v>14898.6</v>
      </c>
      <c r="N102" s="2">
        <v>0</v>
      </c>
      <c r="O102" s="2">
        <v>375489.42</v>
      </c>
      <c r="P102" s="2">
        <v>0</v>
      </c>
      <c r="Q102" s="2">
        <v>375489.42</v>
      </c>
      <c r="R102" s="2" t="s">
        <v>24</v>
      </c>
      <c r="S102" s="2" t="s">
        <v>1350</v>
      </c>
    </row>
    <row r="103" spans="1:19" x14ac:dyDescent="0.25">
      <c r="A103" s="3">
        <v>100</v>
      </c>
      <c r="B103" s="3">
        <v>2023</v>
      </c>
      <c r="C103" s="3" t="s">
        <v>1372</v>
      </c>
      <c r="D103" s="3" t="s">
        <v>1457</v>
      </c>
      <c r="E103" s="3">
        <v>29552</v>
      </c>
      <c r="F103" s="3">
        <v>12</v>
      </c>
      <c r="G103" s="3">
        <v>150</v>
      </c>
      <c r="H103" s="3">
        <v>1800</v>
      </c>
      <c r="I103" s="3">
        <v>0</v>
      </c>
      <c r="J103" s="3" t="s">
        <v>740</v>
      </c>
      <c r="K103" s="3">
        <v>0.42859999999999998</v>
      </c>
      <c r="L103" s="3">
        <v>2.137</v>
      </c>
      <c r="M103" s="3">
        <v>771.48</v>
      </c>
      <c r="N103" s="3">
        <v>0</v>
      </c>
      <c r="O103" s="3">
        <v>22798.78</v>
      </c>
      <c r="P103" s="3">
        <v>0</v>
      </c>
      <c r="Q103" s="3">
        <v>22798.78</v>
      </c>
      <c r="R103" s="3" t="s">
        <v>1364</v>
      </c>
      <c r="S103" s="3" t="s">
        <v>1353</v>
      </c>
    </row>
  </sheetData>
  <autoFilter ref="A3:S3" xr:uid="{00000000-0009-0000-0000-00000A000000}"/>
  <mergeCells count="2">
    <mergeCell ref="A1:P1"/>
    <mergeCell ref="A2:P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T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1458</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25.5" x14ac:dyDescent="0.25">
      <c r="A3" s="1" t="s">
        <v>2</v>
      </c>
      <c r="B3" s="1" t="s">
        <v>3</v>
      </c>
      <c r="C3" s="1" t="s">
        <v>4</v>
      </c>
      <c r="D3" s="1" t="s">
        <v>531</v>
      </c>
      <c r="E3" s="1" t="s">
        <v>1459</v>
      </c>
      <c r="F3" s="1" t="s">
        <v>1460</v>
      </c>
      <c r="G3" s="1" t="s">
        <v>1461</v>
      </c>
      <c r="H3" s="1" t="s">
        <v>1462</v>
      </c>
      <c r="I3" s="1" t="s">
        <v>1463</v>
      </c>
      <c r="J3" s="1" t="s">
        <v>1464</v>
      </c>
      <c r="K3" s="1" t="s">
        <v>1465</v>
      </c>
      <c r="L3" s="1" t="s">
        <v>1466</v>
      </c>
      <c r="M3" s="1" t="s">
        <v>1467</v>
      </c>
      <c r="N3" s="1" t="s">
        <v>1468</v>
      </c>
      <c r="O3" s="1" t="s">
        <v>1469</v>
      </c>
      <c r="P3" s="1" t="s">
        <v>1470</v>
      </c>
      <c r="Q3" s="1" t="s">
        <v>1471</v>
      </c>
      <c r="R3" s="1" t="s">
        <v>1472</v>
      </c>
      <c r="S3" s="1" t="s">
        <v>1473</v>
      </c>
      <c r="T3" s="1" t="s">
        <v>1474</v>
      </c>
    </row>
    <row r="4" spans="1:20" x14ac:dyDescent="0.25">
      <c r="A4" s="2">
        <v>1</v>
      </c>
      <c r="B4" s="2">
        <v>2023</v>
      </c>
      <c r="C4" s="2" t="s">
        <v>22</v>
      </c>
      <c r="D4" s="2" t="s">
        <v>1475</v>
      </c>
      <c r="E4" s="2" t="s">
        <v>1476</v>
      </c>
      <c r="F4" s="2">
        <v>293.85000000000002</v>
      </c>
      <c r="G4" s="2" t="s">
        <v>1477</v>
      </c>
      <c r="H4" s="2">
        <v>28</v>
      </c>
      <c r="I4" s="2">
        <v>24</v>
      </c>
      <c r="J4" s="2">
        <v>36</v>
      </c>
      <c r="K4" s="2">
        <v>12</v>
      </c>
      <c r="L4" s="2">
        <v>0</v>
      </c>
      <c r="M4" s="2">
        <v>1195.7</v>
      </c>
      <c r="N4" s="2">
        <v>2400.8000000000002</v>
      </c>
      <c r="O4" s="2">
        <v>84.3</v>
      </c>
      <c r="P4" s="2">
        <v>239.3</v>
      </c>
      <c r="Q4" s="2">
        <v>98.379800000000003</v>
      </c>
      <c r="R4" s="2">
        <v>169.31399999999999</v>
      </c>
      <c r="S4" s="2">
        <v>8.9177999999999997</v>
      </c>
      <c r="T4" s="2">
        <v>276.61160000000001</v>
      </c>
    </row>
    <row r="5" spans="1:20" x14ac:dyDescent="0.25">
      <c r="A5" s="3">
        <v>2</v>
      </c>
      <c r="B5" s="3">
        <v>2023</v>
      </c>
      <c r="C5" s="3" t="s">
        <v>32</v>
      </c>
      <c r="D5" s="3" t="s">
        <v>1478</v>
      </c>
      <c r="E5" s="3" t="s">
        <v>1479</v>
      </c>
      <c r="F5" s="3">
        <v>404.71</v>
      </c>
      <c r="G5" s="3" t="s">
        <v>1480</v>
      </c>
      <c r="H5" s="3">
        <v>37</v>
      </c>
      <c r="I5" s="3">
        <v>30</v>
      </c>
      <c r="J5" s="3">
        <v>15</v>
      </c>
      <c r="K5" s="3">
        <v>18</v>
      </c>
      <c r="L5" s="3">
        <v>0</v>
      </c>
      <c r="M5" s="3">
        <v>754.1</v>
      </c>
      <c r="N5" s="3">
        <v>645.29999999999995</v>
      </c>
      <c r="O5" s="3">
        <v>102</v>
      </c>
      <c r="P5" s="3">
        <v>228.8</v>
      </c>
      <c r="Q5" s="3">
        <v>112.92100000000001</v>
      </c>
      <c r="R5" s="3">
        <v>78.347800000000007</v>
      </c>
      <c r="S5" s="3">
        <v>6.1920999999999999</v>
      </c>
      <c r="T5" s="3">
        <v>197.46090000000001</v>
      </c>
    </row>
    <row r="6" spans="1:20" x14ac:dyDescent="0.25">
      <c r="A6" s="2">
        <v>3</v>
      </c>
      <c r="B6" s="2">
        <v>2023</v>
      </c>
      <c r="C6" s="2" t="s">
        <v>39</v>
      </c>
      <c r="D6" s="2" t="s">
        <v>1481</v>
      </c>
      <c r="E6" s="2" t="s">
        <v>1482</v>
      </c>
      <c r="F6" s="2">
        <v>5.81</v>
      </c>
      <c r="G6" s="2" t="s">
        <v>1480</v>
      </c>
      <c r="H6" s="2">
        <v>54</v>
      </c>
      <c r="I6" s="2">
        <v>5</v>
      </c>
      <c r="J6" s="2">
        <v>32</v>
      </c>
      <c r="K6" s="2">
        <v>9</v>
      </c>
      <c r="L6" s="2">
        <v>0</v>
      </c>
      <c r="M6" s="2">
        <v>729.5</v>
      </c>
      <c r="N6" s="2">
        <v>1430.8</v>
      </c>
      <c r="O6" s="2">
        <v>121.3</v>
      </c>
      <c r="P6" s="2">
        <v>439.5</v>
      </c>
      <c r="Q6" s="2">
        <v>2.2887</v>
      </c>
      <c r="R6" s="2">
        <v>0.41560000000000002</v>
      </c>
      <c r="S6" s="2">
        <v>0.22550000000000001</v>
      </c>
      <c r="T6" s="2">
        <v>2.9298000000000002</v>
      </c>
    </row>
    <row r="7" spans="1:20" x14ac:dyDescent="0.25">
      <c r="A7" s="3">
        <v>4</v>
      </c>
      <c r="B7" s="3">
        <v>2023</v>
      </c>
      <c r="C7" s="3" t="s">
        <v>46</v>
      </c>
      <c r="D7" s="3" t="s">
        <v>1475</v>
      </c>
      <c r="E7" s="3" t="s">
        <v>1483</v>
      </c>
      <c r="F7" s="3">
        <v>193.41</v>
      </c>
      <c r="G7" s="3" t="s">
        <v>1484</v>
      </c>
      <c r="H7" s="3">
        <v>48</v>
      </c>
      <c r="I7" s="3">
        <v>11</v>
      </c>
      <c r="J7" s="3">
        <v>26</v>
      </c>
      <c r="K7" s="3">
        <v>15</v>
      </c>
      <c r="L7" s="3">
        <v>0</v>
      </c>
      <c r="M7" s="3">
        <v>634.79999999999995</v>
      </c>
      <c r="N7" s="3">
        <v>1621.9</v>
      </c>
      <c r="O7" s="3">
        <v>110.3</v>
      </c>
      <c r="P7" s="3">
        <v>458.5</v>
      </c>
      <c r="Q7" s="3">
        <v>58.9328</v>
      </c>
      <c r="R7" s="3">
        <v>34.506100000000004</v>
      </c>
      <c r="S7" s="3">
        <v>5.5465999999999998</v>
      </c>
      <c r="T7" s="3">
        <v>98.985500000000002</v>
      </c>
    </row>
    <row r="8" spans="1:20" x14ac:dyDescent="0.25">
      <c r="A8" s="2">
        <v>5</v>
      </c>
      <c r="B8" s="2">
        <v>2023</v>
      </c>
      <c r="C8" s="2" t="s">
        <v>22</v>
      </c>
      <c r="D8" s="2" t="s">
        <v>1485</v>
      </c>
      <c r="E8" s="2" t="s">
        <v>1486</v>
      </c>
      <c r="F8" s="2">
        <v>446.44</v>
      </c>
      <c r="G8" s="2" t="s">
        <v>1487</v>
      </c>
      <c r="H8" s="2">
        <v>36</v>
      </c>
      <c r="I8" s="2">
        <v>26</v>
      </c>
      <c r="J8" s="2">
        <v>34</v>
      </c>
      <c r="K8" s="2">
        <v>4</v>
      </c>
      <c r="L8" s="2">
        <v>0</v>
      </c>
      <c r="M8" s="2">
        <v>819.9</v>
      </c>
      <c r="N8" s="2">
        <v>2126.8000000000002</v>
      </c>
      <c r="O8" s="2">
        <v>37.700000000000003</v>
      </c>
      <c r="P8" s="2">
        <v>99.9</v>
      </c>
      <c r="Q8" s="2">
        <v>131.773</v>
      </c>
      <c r="R8" s="2">
        <v>246.86699999999999</v>
      </c>
      <c r="S8" s="2">
        <v>5.7225000000000001</v>
      </c>
      <c r="T8" s="2">
        <v>384.36250000000001</v>
      </c>
    </row>
    <row r="9" spans="1:20" x14ac:dyDescent="0.25">
      <c r="A9" s="3">
        <v>6</v>
      </c>
      <c r="B9" s="3">
        <v>2023</v>
      </c>
      <c r="C9" s="3" t="s">
        <v>32</v>
      </c>
      <c r="D9" s="3" t="s">
        <v>1488</v>
      </c>
      <c r="E9" s="3" t="s">
        <v>1489</v>
      </c>
      <c r="F9" s="3">
        <v>24.35</v>
      </c>
      <c r="G9" s="3" t="s">
        <v>1490</v>
      </c>
      <c r="H9" s="3">
        <v>27</v>
      </c>
      <c r="I9" s="3">
        <v>18</v>
      </c>
      <c r="J9" s="3">
        <v>13</v>
      </c>
      <c r="K9" s="3">
        <v>42</v>
      </c>
      <c r="L9" s="3">
        <v>0</v>
      </c>
      <c r="M9" s="3">
        <v>555.5</v>
      </c>
      <c r="N9" s="3">
        <v>842.3</v>
      </c>
      <c r="O9" s="3">
        <v>55.8</v>
      </c>
      <c r="P9" s="3">
        <v>233.1</v>
      </c>
      <c r="Q9" s="3">
        <v>3.6520999999999999</v>
      </c>
      <c r="R9" s="3">
        <v>3.6918000000000002</v>
      </c>
      <c r="S9" s="3">
        <v>0.17660000000000001</v>
      </c>
      <c r="T9" s="3">
        <v>7.5205000000000002</v>
      </c>
    </row>
    <row r="10" spans="1:20" x14ac:dyDescent="0.25">
      <c r="A10" s="2">
        <v>7</v>
      </c>
      <c r="B10" s="2">
        <v>2023</v>
      </c>
      <c r="C10" s="2" t="s">
        <v>39</v>
      </c>
      <c r="D10" s="2" t="s">
        <v>1491</v>
      </c>
      <c r="E10" s="2" t="s">
        <v>1492</v>
      </c>
      <c r="F10" s="2">
        <v>143.22999999999999</v>
      </c>
      <c r="G10" s="2" t="s">
        <v>1490</v>
      </c>
      <c r="H10" s="2">
        <v>51</v>
      </c>
      <c r="I10" s="2">
        <v>30</v>
      </c>
      <c r="J10" s="2">
        <v>37</v>
      </c>
      <c r="K10" s="2">
        <v>0</v>
      </c>
      <c r="L10" s="2">
        <v>0</v>
      </c>
      <c r="M10" s="2">
        <v>939.4</v>
      </c>
      <c r="N10" s="2">
        <v>509.3</v>
      </c>
      <c r="O10" s="2">
        <v>74.599999999999994</v>
      </c>
      <c r="P10" s="2">
        <v>132.4</v>
      </c>
      <c r="Q10" s="2">
        <v>68.620599999999996</v>
      </c>
      <c r="R10" s="2">
        <v>21.8841</v>
      </c>
      <c r="S10" s="2">
        <v>3.9533999999999998</v>
      </c>
      <c r="T10" s="2">
        <v>94.458100000000002</v>
      </c>
    </row>
    <row r="11" spans="1:20" x14ac:dyDescent="0.25">
      <c r="A11" s="3">
        <v>8</v>
      </c>
      <c r="B11" s="3">
        <v>2023</v>
      </c>
      <c r="C11" s="3" t="s">
        <v>46</v>
      </c>
      <c r="D11" s="3" t="s">
        <v>1493</v>
      </c>
      <c r="E11" s="3" t="s">
        <v>1494</v>
      </c>
      <c r="F11" s="3">
        <v>448.02</v>
      </c>
      <c r="G11" s="3" t="s">
        <v>705</v>
      </c>
      <c r="H11" s="3">
        <v>43</v>
      </c>
      <c r="I11" s="3">
        <v>6</v>
      </c>
      <c r="J11" s="3">
        <v>20</v>
      </c>
      <c r="K11" s="3">
        <v>31</v>
      </c>
      <c r="L11" s="3">
        <v>0</v>
      </c>
      <c r="M11" s="3">
        <v>998.1</v>
      </c>
      <c r="N11" s="3">
        <v>638.9</v>
      </c>
      <c r="O11" s="3">
        <v>23.3</v>
      </c>
      <c r="P11" s="3">
        <v>401</v>
      </c>
      <c r="Q11" s="3">
        <v>192.2826</v>
      </c>
      <c r="R11" s="3">
        <v>17.174399999999999</v>
      </c>
      <c r="S11" s="3">
        <v>2.0878000000000001</v>
      </c>
      <c r="T11" s="3">
        <v>211.54480000000001</v>
      </c>
    </row>
    <row r="12" spans="1:20" x14ac:dyDescent="0.25">
      <c r="A12" s="2">
        <v>9</v>
      </c>
      <c r="B12" s="2">
        <v>2023</v>
      </c>
      <c r="C12" s="2" t="s">
        <v>22</v>
      </c>
      <c r="D12" s="2" t="s">
        <v>1485</v>
      </c>
      <c r="E12" s="2" t="s">
        <v>1495</v>
      </c>
      <c r="F12" s="2">
        <v>159.28</v>
      </c>
      <c r="G12" s="2" t="s">
        <v>1487</v>
      </c>
      <c r="H12" s="2">
        <v>32</v>
      </c>
      <c r="I12" s="2">
        <v>17</v>
      </c>
      <c r="J12" s="2">
        <v>12</v>
      </c>
      <c r="K12" s="2">
        <v>39</v>
      </c>
      <c r="L12" s="2">
        <v>0</v>
      </c>
      <c r="M12" s="2">
        <v>923</v>
      </c>
      <c r="N12" s="2">
        <v>1126.3</v>
      </c>
      <c r="O12" s="2">
        <v>95.7</v>
      </c>
      <c r="P12" s="2">
        <v>237.3</v>
      </c>
      <c r="Q12" s="2">
        <v>47.044899999999998</v>
      </c>
      <c r="R12" s="2">
        <v>30.497499999999999</v>
      </c>
      <c r="S12" s="2">
        <v>1.8291999999999999</v>
      </c>
      <c r="T12" s="2">
        <v>79.371600000000001</v>
      </c>
    </row>
    <row r="13" spans="1:20" ht="24" x14ac:dyDescent="0.25">
      <c r="A13" s="3">
        <v>10</v>
      </c>
      <c r="B13" s="3">
        <v>2023</v>
      </c>
      <c r="C13" s="3" t="s">
        <v>32</v>
      </c>
      <c r="D13" s="3" t="s">
        <v>1475</v>
      </c>
      <c r="E13" s="3" t="s">
        <v>1496</v>
      </c>
      <c r="F13" s="3">
        <v>424.49</v>
      </c>
      <c r="G13" s="3" t="s">
        <v>49</v>
      </c>
      <c r="H13" s="3">
        <v>17</v>
      </c>
      <c r="I13" s="3">
        <v>16</v>
      </c>
      <c r="J13" s="3">
        <v>40</v>
      </c>
      <c r="K13" s="3">
        <v>27</v>
      </c>
      <c r="L13" s="3">
        <v>0</v>
      </c>
      <c r="M13" s="3">
        <v>975.3</v>
      </c>
      <c r="N13" s="3">
        <v>558.6</v>
      </c>
      <c r="O13" s="3">
        <v>16.7</v>
      </c>
      <c r="P13" s="3">
        <v>84.2</v>
      </c>
      <c r="Q13" s="3">
        <v>70.380899999999997</v>
      </c>
      <c r="R13" s="3">
        <v>37.9392</v>
      </c>
      <c r="S13" s="3">
        <v>2.8355999999999999</v>
      </c>
      <c r="T13" s="3">
        <v>111.1557</v>
      </c>
    </row>
    <row r="14" spans="1:20" x14ac:dyDescent="0.25">
      <c r="A14" s="2">
        <v>11</v>
      </c>
      <c r="B14" s="2">
        <v>2023</v>
      </c>
      <c r="C14" s="2" t="s">
        <v>39</v>
      </c>
      <c r="D14" s="2" t="s">
        <v>1481</v>
      </c>
      <c r="E14" s="2" t="s">
        <v>1497</v>
      </c>
      <c r="F14" s="2">
        <v>430.83</v>
      </c>
      <c r="G14" s="2" t="s">
        <v>1490</v>
      </c>
      <c r="H14" s="2">
        <v>56</v>
      </c>
      <c r="I14" s="2">
        <v>18</v>
      </c>
      <c r="J14" s="2">
        <v>17</v>
      </c>
      <c r="K14" s="2">
        <v>9</v>
      </c>
      <c r="L14" s="2">
        <v>0</v>
      </c>
      <c r="M14" s="2">
        <v>594.70000000000005</v>
      </c>
      <c r="N14" s="2">
        <v>882.3</v>
      </c>
      <c r="O14" s="2">
        <v>136.30000000000001</v>
      </c>
      <c r="P14" s="2">
        <v>227.6</v>
      </c>
      <c r="Q14" s="2">
        <v>143.4802</v>
      </c>
      <c r="R14" s="2">
        <v>68.421800000000005</v>
      </c>
      <c r="S14" s="2">
        <v>9.9827999999999992</v>
      </c>
      <c r="T14" s="2">
        <v>221.88480000000001</v>
      </c>
    </row>
    <row r="15" spans="1:20" x14ac:dyDescent="0.25">
      <c r="A15" s="3">
        <v>12</v>
      </c>
      <c r="B15" s="3">
        <v>2023</v>
      </c>
      <c r="C15" s="3" t="s">
        <v>46</v>
      </c>
      <c r="D15" s="3" t="s">
        <v>1478</v>
      </c>
      <c r="E15" s="3" t="s">
        <v>1498</v>
      </c>
      <c r="F15" s="3">
        <v>467.12</v>
      </c>
      <c r="G15" s="3" t="s">
        <v>1484</v>
      </c>
      <c r="H15" s="3">
        <v>13</v>
      </c>
      <c r="I15" s="3">
        <v>13</v>
      </c>
      <c r="J15" s="3">
        <v>38</v>
      </c>
      <c r="K15" s="3">
        <v>36</v>
      </c>
      <c r="L15" s="3">
        <v>0</v>
      </c>
      <c r="M15" s="3">
        <v>1117.2</v>
      </c>
      <c r="N15" s="3">
        <v>721.6</v>
      </c>
      <c r="O15" s="3">
        <v>142.6</v>
      </c>
      <c r="P15" s="3">
        <v>110</v>
      </c>
      <c r="Q15" s="3">
        <v>67.842600000000004</v>
      </c>
      <c r="R15" s="3">
        <v>43.819600000000001</v>
      </c>
      <c r="S15" s="3">
        <v>25.3123</v>
      </c>
      <c r="T15" s="3">
        <v>136.97450000000001</v>
      </c>
    </row>
    <row r="16" spans="1:20" x14ac:dyDescent="0.25">
      <c r="A16" s="2">
        <v>13</v>
      </c>
      <c r="B16" s="2">
        <v>2023</v>
      </c>
      <c r="C16" s="2" t="s">
        <v>22</v>
      </c>
      <c r="D16" s="2" t="s">
        <v>67</v>
      </c>
      <c r="E16" s="2" t="s">
        <v>1499</v>
      </c>
      <c r="F16" s="2">
        <v>396.02</v>
      </c>
      <c r="G16" s="2" t="s">
        <v>1484</v>
      </c>
      <c r="H16" s="2">
        <v>34</v>
      </c>
      <c r="I16" s="2">
        <v>13</v>
      </c>
      <c r="J16" s="2">
        <v>32</v>
      </c>
      <c r="K16" s="2">
        <v>21</v>
      </c>
      <c r="L16" s="2">
        <v>0</v>
      </c>
      <c r="M16" s="2">
        <v>594.79999999999995</v>
      </c>
      <c r="N16" s="2">
        <v>775.5</v>
      </c>
      <c r="O16" s="2">
        <v>74.5</v>
      </c>
      <c r="P16" s="2">
        <v>130.5</v>
      </c>
      <c r="Q16" s="2">
        <v>80.087900000000005</v>
      </c>
      <c r="R16" s="2">
        <v>39.924799999999998</v>
      </c>
      <c r="S16" s="2">
        <v>9.4411000000000005</v>
      </c>
      <c r="T16" s="2">
        <v>129.4538</v>
      </c>
    </row>
    <row r="17" spans="1:20" x14ac:dyDescent="0.25">
      <c r="A17" s="3">
        <v>14</v>
      </c>
      <c r="B17" s="3">
        <v>2023</v>
      </c>
      <c r="C17" s="3" t="s">
        <v>32</v>
      </c>
      <c r="D17" s="3" t="s">
        <v>1485</v>
      </c>
      <c r="E17" s="3" t="s">
        <v>1500</v>
      </c>
      <c r="F17" s="3">
        <v>444.01</v>
      </c>
      <c r="G17" s="3" t="s">
        <v>705</v>
      </c>
      <c r="H17" s="3">
        <v>36</v>
      </c>
      <c r="I17" s="3">
        <v>25</v>
      </c>
      <c r="J17" s="3">
        <v>24</v>
      </c>
      <c r="K17" s="3">
        <v>15</v>
      </c>
      <c r="L17" s="3">
        <v>0</v>
      </c>
      <c r="M17" s="3">
        <v>1018</v>
      </c>
      <c r="N17" s="3">
        <v>1543.5</v>
      </c>
      <c r="O17" s="3">
        <v>43.7</v>
      </c>
      <c r="P17" s="3">
        <v>271.2</v>
      </c>
      <c r="Q17" s="3">
        <v>162.7208</v>
      </c>
      <c r="R17" s="3">
        <v>171.33240000000001</v>
      </c>
      <c r="S17" s="3">
        <v>4.6567999999999996</v>
      </c>
      <c r="T17" s="3">
        <v>338.71</v>
      </c>
    </row>
    <row r="18" spans="1:20" x14ac:dyDescent="0.25">
      <c r="A18" s="2">
        <v>15</v>
      </c>
      <c r="B18" s="2">
        <v>2023</v>
      </c>
      <c r="C18" s="2" t="s">
        <v>39</v>
      </c>
      <c r="D18" s="2" t="s">
        <v>1501</v>
      </c>
      <c r="E18" s="2" t="s">
        <v>1502</v>
      </c>
      <c r="F18" s="2">
        <v>161.63</v>
      </c>
      <c r="G18" s="2" t="s">
        <v>1503</v>
      </c>
      <c r="H18" s="2">
        <v>56</v>
      </c>
      <c r="I18" s="2">
        <v>20</v>
      </c>
      <c r="J18" s="2">
        <v>17</v>
      </c>
      <c r="K18" s="2">
        <v>7</v>
      </c>
      <c r="L18" s="2">
        <v>0</v>
      </c>
      <c r="M18" s="2">
        <v>528</v>
      </c>
      <c r="N18" s="2">
        <v>2032.4</v>
      </c>
      <c r="O18" s="2">
        <v>109.6</v>
      </c>
      <c r="P18" s="2">
        <v>221.2</v>
      </c>
      <c r="Q18" s="2">
        <v>47.790799999999997</v>
      </c>
      <c r="R18" s="2">
        <v>65.699399999999997</v>
      </c>
      <c r="S18" s="2">
        <v>3.0114999999999998</v>
      </c>
      <c r="T18" s="2">
        <v>116.5017</v>
      </c>
    </row>
    <row r="19" spans="1:20" x14ac:dyDescent="0.25">
      <c r="A19" s="3">
        <v>16</v>
      </c>
      <c r="B19" s="3">
        <v>2023</v>
      </c>
      <c r="C19" s="3" t="s">
        <v>46</v>
      </c>
      <c r="D19" s="3" t="s">
        <v>1485</v>
      </c>
      <c r="E19" s="3" t="s">
        <v>1504</v>
      </c>
      <c r="F19" s="3">
        <v>347.79</v>
      </c>
      <c r="G19" s="3" t="s">
        <v>1480</v>
      </c>
      <c r="H19" s="3">
        <v>14</v>
      </c>
      <c r="I19" s="3">
        <v>20</v>
      </c>
      <c r="J19" s="3">
        <v>11</v>
      </c>
      <c r="K19" s="3">
        <v>55</v>
      </c>
      <c r="L19" s="3">
        <v>0</v>
      </c>
      <c r="M19" s="3">
        <v>630.6</v>
      </c>
      <c r="N19" s="3">
        <v>1841</v>
      </c>
      <c r="O19" s="3">
        <v>75.5</v>
      </c>
      <c r="P19" s="3">
        <v>234</v>
      </c>
      <c r="Q19" s="3">
        <v>30.7043</v>
      </c>
      <c r="R19" s="3">
        <v>128.05629999999999</v>
      </c>
      <c r="S19" s="3">
        <v>2.8883999999999999</v>
      </c>
      <c r="T19" s="3">
        <v>161.649</v>
      </c>
    </row>
    <row r="20" spans="1:20" x14ac:dyDescent="0.25">
      <c r="A20" s="2">
        <v>17</v>
      </c>
      <c r="B20" s="2">
        <v>2023</v>
      </c>
      <c r="C20" s="2" t="s">
        <v>22</v>
      </c>
      <c r="D20" s="2" t="s">
        <v>67</v>
      </c>
      <c r="E20" s="2" t="s">
        <v>1505</v>
      </c>
      <c r="F20" s="2">
        <v>170.88</v>
      </c>
      <c r="G20" s="2" t="s">
        <v>1506</v>
      </c>
      <c r="H20" s="2">
        <v>47</v>
      </c>
      <c r="I20" s="2">
        <v>29</v>
      </c>
      <c r="J20" s="2">
        <v>26</v>
      </c>
      <c r="K20" s="2">
        <v>0</v>
      </c>
      <c r="L20" s="2">
        <v>0</v>
      </c>
      <c r="M20" s="2">
        <v>886.8</v>
      </c>
      <c r="N20" s="2">
        <v>1126.7</v>
      </c>
      <c r="O20" s="2">
        <v>142.19999999999999</v>
      </c>
      <c r="P20" s="2">
        <v>363.4</v>
      </c>
      <c r="Q20" s="2">
        <v>71.222099999999998</v>
      </c>
      <c r="R20" s="2">
        <v>55.833799999999997</v>
      </c>
      <c r="S20" s="2">
        <v>6.3178000000000001</v>
      </c>
      <c r="T20" s="2">
        <v>133.37370000000001</v>
      </c>
    </row>
    <row r="21" spans="1:20" x14ac:dyDescent="0.25">
      <c r="A21" s="3">
        <v>18</v>
      </c>
      <c r="B21" s="3">
        <v>2023</v>
      </c>
      <c r="C21" s="3" t="s">
        <v>32</v>
      </c>
      <c r="D21" s="3" t="s">
        <v>1491</v>
      </c>
      <c r="E21" s="3" t="s">
        <v>1507</v>
      </c>
      <c r="F21" s="3">
        <v>53.72</v>
      </c>
      <c r="G21" s="3" t="s">
        <v>1503</v>
      </c>
      <c r="H21" s="3">
        <v>18</v>
      </c>
      <c r="I21" s="3">
        <v>12</v>
      </c>
      <c r="J21" s="3">
        <v>39</v>
      </c>
      <c r="K21" s="3">
        <v>31</v>
      </c>
      <c r="L21" s="3">
        <v>0</v>
      </c>
      <c r="M21" s="3">
        <v>759.1</v>
      </c>
      <c r="N21" s="3">
        <v>2450.1</v>
      </c>
      <c r="O21" s="3">
        <v>131.5</v>
      </c>
      <c r="P21" s="3">
        <v>285.39999999999998</v>
      </c>
      <c r="Q21" s="3">
        <v>7.3402000000000003</v>
      </c>
      <c r="R21" s="3">
        <v>15.7943</v>
      </c>
      <c r="S21" s="3">
        <v>2.7549999999999999</v>
      </c>
      <c r="T21" s="3">
        <v>25.889500000000002</v>
      </c>
    </row>
    <row r="22" spans="1:20" x14ac:dyDescent="0.25">
      <c r="A22" s="2">
        <v>19</v>
      </c>
      <c r="B22" s="2">
        <v>2023</v>
      </c>
      <c r="C22" s="2" t="s">
        <v>39</v>
      </c>
      <c r="D22" s="2" t="s">
        <v>1475</v>
      </c>
      <c r="E22" s="2" t="s">
        <v>1508</v>
      </c>
      <c r="F22" s="2">
        <v>35.25</v>
      </c>
      <c r="G22" s="2" t="s">
        <v>1480</v>
      </c>
      <c r="H22" s="2">
        <v>37</v>
      </c>
      <c r="I22" s="2">
        <v>10</v>
      </c>
      <c r="J22" s="2">
        <v>31</v>
      </c>
      <c r="K22" s="2">
        <v>22</v>
      </c>
      <c r="L22" s="2">
        <v>0</v>
      </c>
      <c r="M22" s="2">
        <v>711.1</v>
      </c>
      <c r="N22" s="2">
        <v>2239.6999999999998</v>
      </c>
      <c r="O22" s="2">
        <v>100.8</v>
      </c>
      <c r="P22" s="2">
        <v>138.9</v>
      </c>
      <c r="Q22" s="2">
        <v>9.2744999999999997</v>
      </c>
      <c r="R22" s="2">
        <v>7.8948999999999998</v>
      </c>
      <c r="S22" s="2">
        <v>1.1014999999999999</v>
      </c>
      <c r="T22" s="2">
        <v>18.270900000000001</v>
      </c>
    </row>
    <row r="23" spans="1:20" x14ac:dyDescent="0.25">
      <c r="A23" s="3">
        <v>20</v>
      </c>
      <c r="B23" s="3">
        <v>2023</v>
      </c>
      <c r="C23" s="3" t="s">
        <v>46</v>
      </c>
      <c r="D23" s="3" t="s">
        <v>1481</v>
      </c>
      <c r="E23" s="3" t="s">
        <v>1509</v>
      </c>
      <c r="F23" s="3">
        <v>121.04</v>
      </c>
      <c r="G23" s="3" t="s">
        <v>1480</v>
      </c>
      <c r="H23" s="3">
        <v>39</v>
      </c>
      <c r="I23" s="3">
        <v>10</v>
      </c>
      <c r="J23" s="3">
        <v>18</v>
      </c>
      <c r="K23" s="3">
        <v>33</v>
      </c>
      <c r="L23" s="3">
        <v>0</v>
      </c>
      <c r="M23" s="3">
        <v>474.3</v>
      </c>
      <c r="N23" s="3">
        <v>1823.8</v>
      </c>
      <c r="O23" s="3">
        <v>73.400000000000006</v>
      </c>
      <c r="P23" s="3">
        <v>186.2</v>
      </c>
      <c r="Q23" s="3">
        <v>22.389600000000002</v>
      </c>
      <c r="R23" s="3">
        <v>22.075299999999999</v>
      </c>
      <c r="S23" s="3">
        <v>1.5992</v>
      </c>
      <c r="T23" s="3">
        <v>46.064100000000003</v>
      </c>
    </row>
    <row r="24" spans="1:20" x14ac:dyDescent="0.25">
      <c r="A24" s="2">
        <v>21</v>
      </c>
      <c r="B24" s="2">
        <v>2023</v>
      </c>
      <c r="C24" s="2" t="s">
        <v>22</v>
      </c>
      <c r="D24" s="2" t="s">
        <v>1475</v>
      </c>
      <c r="E24" s="2" t="s">
        <v>1510</v>
      </c>
      <c r="F24" s="2">
        <v>177.86</v>
      </c>
      <c r="G24" s="2" t="s">
        <v>1490</v>
      </c>
      <c r="H24" s="2">
        <v>23</v>
      </c>
      <c r="I24" s="2">
        <v>9</v>
      </c>
      <c r="J24" s="2">
        <v>22</v>
      </c>
      <c r="K24" s="2">
        <v>46</v>
      </c>
      <c r="L24" s="2">
        <v>0</v>
      </c>
      <c r="M24" s="2">
        <v>876.9</v>
      </c>
      <c r="N24" s="2">
        <v>1515.9</v>
      </c>
      <c r="O24" s="2">
        <v>17.399999999999999</v>
      </c>
      <c r="P24" s="2">
        <v>189</v>
      </c>
      <c r="Q24" s="2">
        <v>35.872</v>
      </c>
      <c r="R24" s="2">
        <v>24.265599999999999</v>
      </c>
      <c r="S24" s="2">
        <v>0.68079999999999996</v>
      </c>
      <c r="T24" s="2">
        <v>60.818399999999997</v>
      </c>
    </row>
    <row r="25" spans="1:20" x14ac:dyDescent="0.25">
      <c r="A25" s="3">
        <v>22</v>
      </c>
      <c r="B25" s="3">
        <v>2023</v>
      </c>
      <c r="C25" s="3" t="s">
        <v>32</v>
      </c>
      <c r="D25" s="3" t="s">
        <v>1485</v>
      </c>
      <c r="E25" s="3" t="s">
        <v>1511</v>
      </c>
      <c r="F25" s="3">
        <v>324.66000000000003</v>
      </c>
      <c r="G25" s="3" t="s">
        <v>1506</v>
      </c>
      <c r="H25" s="3">
        <v>56</v>
      </c>
      <c r="I25" s="3">
        <v>18</v>
      </c>
      <c r="J25" s="3">
        <v>16</v>
      </c>
      <c r="K25" s="3">
        <v>10</v>
      </c>
      <c r="L25" s="3">
        <v>0</v>
      </c>
      <c r="M25" s="3">
        <v>699.9</v>
      </c>
      <c r="N25" s="3">
        <v>1305.4000000000001</v>
      </c>
      <c r="O25" s="3">
        <v>93.2</v>
      </c>
      <c r="P25" s="3">
        <v>291.8</v>
      </c>
      <c r="Q25" s="3">
        <v>127.24850000000001</v>
      </c>
      <c r="R25" s="3">
        <v>76.286000000000001</v>
      </c>
      <c r="S25" s="3">
        <v>4.8413000000000004</v>
      </c>
      <c r="T25" s="3">
        <v>208.3758</v>
      </c>
    </row>
    <row r="26" spans="1:20" x14ac:dyDescent="0.25">
      <c r="A26" s="2">
        <v>23</v>
      </c>
      <c r="B26" s="2">
        <v>2023</v>
      </c>
      <c r="C26" s="2" t="s">
        <v>39</v>
      </c>
      <c r="D26" s="2" t="s">
        <v>1488</v>
      </c>
      <c r="E26" s="2" t="s">
        <v>1512</v>
      </c>
      <c r="F26" s="2">
        <v>217.35</v>
      </c>
      <c r="G26" s="2" t="s">
        <v>705</v>
      </c>
      <c r="H26" s="2">
        <v>53</v>
      </c>
      <c r="I26" s="2">
        <v>6</v>
      </c>
      <c r="J26" s="2">
        <v>30</v>
      </c>
      <c r="K26" s="2">
        <v>11</v>
      </c>
      <c r="L26" s="2">
        <v>0</v>
      </c>
      <c r="M26" s="2">
        <v>661.6</v>
      </c>
      <c r="N26" s="2">
        <v>722.2</v>
      </c>
      <c r="O26" s="2">
        <v>26.1</v>
      </c>
      <c r="P26" s="2">
        <v>438</v>
      </c>
      <c r="Q26" s="2">
        <v>76.213300000000004</v>
      </c>
      <c r="R26" s="2">
        <v>9.4182000000000006</v>
      </c>
      <c r="S26" s="2">
        <v>1.7019</v>
      </c>
      <c r="T26" s="2">
        <v>87.333399999999997</v>
      </c>
    </row>
    <row r="27" spans="1:20" x14ac:dyDescent="0.25">
      <c r="A27" s="3">
        <v>24</v>
      </c>
      <c r="B27" s="3">
        <v>2023</v>
      </c>
      <c r="C27" s="3" t="s">
        <v>46</v>
      </c>
      <c r="D27" s="3" t="s">
        <v>1475</v>
      </c>
      <c r="E27" s="3" t="s">
        <v>1513</v>
      </c>
      <c r="F27" s="3">
        <v>120.14</v>
      </c>
      <c r="G27" s="3" t="s">
        <v>1503</v>
      </c>
      <c r="H27" s="3">
        <v>44</v>
      </c>
      <c r="I27" s="3">
        <v>8</v>
      </c>
      <c r="J27" s="3">
        <v>18</v>
      </c>
      <c r="K27" s="3">
        <v>30</v>
      </c>
      <c r="L27" s="3">
        <v>0</v>
      </c>
      <c r="M27" s="3">
        <v>642.5</v>
      </c>
      <c r="N27" s="3">
        <v>1740.4</v>
      </c>
      <c r="O27" s="3">
        <v>110.2</v>
      </c>
      <c r="P27" s="3">
        <v>236.8</v>
      </c>
      <c r="Q27" s="3">
        <v>33.9636</v>
      </c>
      <c r="R27" s="3">
        <v>16.7273</v>
      </c>
      <c r="S27" s="3">
        <v>2.3831000000000002</v>
      </c>
      <c r="T27" s="3">
        <v>53.073999999999998</v>
      </c>
    </row>
    <row r="28" spans="1:20" x14ac:dyDescent="0.25">
      <c r="A28" s="2">
        <v>25</v>
      </c>
      <c r="B28" s="2">
        <v>2023</v>
      </c>
      <c r="C28" s="2" t="s">
        <v>22</v>
      </c>
      <c r="D28" s="2" t="s">
        <v>1488</v>
      </c>
      <c r="E28" s="2" t="s">
        <v>1514</v>
      </c>
      <c r="F28" s="2">
        <v>367.23</v>
      </c>
      <c r="G28" s="2" t="s">
        <v>705</v>
      </c>
      <c r="H28" s="2">
        <v>54</v>
      </c>
      <c r="I28" s="2">
        <v>13</v>
      </c>
      <c r="J28" s="2">
        <v>25</v>
      </c>
      <c r="K28" s="2">
        <v>8</v>
      </c>
      <c r="L28" s="2">
        <v>0</v>
      </c>
      <c r="M28" s="2">
        <v>624.79999999999995</v>
      </c>
      <c r="N28" s="2">
        <v>2071.5</v>
      </c>
      <c r="O28" s="2">
        <v>58.7</v>
      </c>
      <c r="P28" s="2">
        <v>195.2</v>
      </c>
      <c r="Q28" s="2">
        <v>123.90049999999999</v>
      </c>
      <c r="R28" s="2">
        <v>98.893199999999993</v>
      </c>
      <c r="S28" s="2">
        <v>5.3891</v>
      </c>
      <c r="T28" s="2">
        <v>228.18279999999999</v>
      </c>
    </row>
    <row r="29" spans="1:20" x14ac:dyDescent="0.25">
      <c r="A29" s="3">
        <v>26</v>
      </c>
      <c r="B29" s="3">
        <v>2023</v>
      </c>
      <c r="C29" s="3" t="s">
        <v>32</v>
      </c>
      <c r="D29" s="3" t="s">
        <v>1501</v>
      </c>
      <c r="E29" s="3" t="s">
        <v>1515</v>
      </c>
      <c r="F29" s="3">
        <v>367.21</v>
      </c>
      <c r="G29" s="3" t="s">
        <v>1477</v>
      </c>
      <c r="H29" s="3">
        <v>16</v>
      </c>
      <c r="I29" s="3">
        <v>10</v>
      </c>
      <c r="J29" s="3">
        <v>26</v>
      </c>
      <c r="K29" s="3">
        <v>48</v>
      </c>
      <c r="L29" s="3">
        <v>0</v>
      </c>
      <c r="M29" s="3">
        <v>1221.5999999999999</v>
      </c>
      <c r="N29" s="3">
        <v>1744.2</v>
      </c>
      <c r="O29" s="3">
        <v>113.5</v>
      </c>
      <c r="P29" s="3">
        <v>421</v>
      </c>
      <c r="Q29" s="3">
        <v>71.773399999999995</v>
      </c>
      <c r="R29" s="3">
        <v>64.0488</v>
      </c>
      <c r="S29" s="3">
        <v>10.836399999999999</v>
      </c>
      <c r="T29" s="3">
        <v>146.65860000000001</v>
      </c>
    </row>
    <row r="30" spans="1:20" ht="24" x14ac:dyDescent="0.25">
      <c r="A30" s="2">
        <v>27</v>
      </c>
      <c r="B30" s="2">
        <v>2023</v>
      </c>
      <c r="C30" s="2" t="s">
        <v>39</v>
      </c>
      <c r="D30" s="2" t="s">
        <v>1491</v>
      </c>
      <c r="E30" s="2" t="s">
        <v>1516</v>
      </c>
      <c r="F30" s="2">
        <v>158.24</v>
      </c>
      <c r="G30" s="2" t="s">
        <v>49</v>
      </c>
      <c r="H30" s="2">
        <v>14</v>
      </c>
      <c r="I30" s="2">
        <v>10</v>
      </c>
      <c r="J30" s="2">
        <v>15</v>
      </c>
      <c r="K30" s="2">
        <v>61</v>
      </c>
      <c r="L30" s="2">
        <v>0</v>
      </c>
      <c r="M30" s="2">
        <v>732.3</v>
      </c>
      <c r="N30" s="2">
        <v>1410.4</v>
      </c>
      <c r="O30" s="2">
        <v>144.69999999999999</v>
      </c>
      <c r="P30" s="2">
        <v>346.4</v>
      </c>
      <c r="Q30" s="2">
        <v>16.223099999999999</v>
      </c>
      <c r="R30" s="2">
        <v>22.318200000000001</v>
      </c>
      <c r="S30" s="2">
        <v>3.4346000000000001</v>
      </c>
      <c r="T30" s="2">
        <v>41.975900000000003</v>
      </c>
    </row>
    <row r="31" spans="1:20" x14ac:dyDescent="0.25">
      <c r="A31" s="3">
        <v>28</v>
      </c>
      <c r="B31" s="3">
        <v>2023</v>
      </c>
      <c r="C31" s="3" t="s">
        <v>46</v>
      </c>
      <c r="D31" s="3" t="s">
        <v>1488</v>
      </c>
      <c r="E31" s="3" t="s">
        <v>1517</v>
      </c>
      <c r="F31" s="3">
        <v>11.39</v>
      </c>
      <c r="G31" s="3" t="s">
        <v>1490</v>
      </c>
      <c r="H31" s="3">
        <v>26</v>
      </c>
      <c r="I31" s="3">
        <v>7</v>
      </c>
      <c r="J31" s="3">
        <v>15</v>
      </c>
      <c r="K31" s="3">
        <v>52</v>
      </c>
      <c r="L31" s="3">
        <v>0</v>
      </c>
      <c r="M31" s="3">
        <v>1027.3</v>
      </c>
      <c r="N31" s="3">
        <v>2206.1999999999998</v>
      </c>
      <c r="O31" s="3">
        <v>93.2</v>
      </c>
      <c r="P31" s="3">
        <v>467.8</v>
      </c>
      <c r="Q31" s="3">
        <v>3.0421999999999998</v>
      </c>
      <c r="R31" s="3">
        <v>1.7589999999999999</v>
      </c>
      <c r="S31" s="3">
        <v>0.15920000000000001</v>
      </c>
      <c r="T31" s="3">
        <v>4.9603999999999999</v>
      </c>
    </row>
    <row r="32" spans="1:20" x14ac:dyDescent="0.25">
      <c r="A32" s="2">
        <v>29</v>
      </c>
      <c r="B32" s="2">
        <v>2023</v>
      </c>
      <c r="C32" s="2" t="s">
        <v>22</v>
      </c>
      <c r="D32" s="2" t="s">
        <v>1501</v>
      </c>
      <c r="E32" s="2" t="s">
        <v>1518</v>
      </c>
      <c r="F32" s="2">
        <v>244.67</v>
      </c>
      <c r="G32" s="2" t="s">
        <v>1506</v>
      </c>
      <c r="H32" s="2">
        <v>25</v>
      </c>
      <c r="I32" s="2">
        <v>20</v>
      </c>
      <c r="J32" s="2">
        <v>13</v>
      </c>
      <c r="K32" s="2">
        <v>42</v>
      </c>
      <c r="L32" s="2">
        <v>0</v>
      </c>
      <c r="M32" s="2">
        <v>488.4</v>
      </c>
      <c r="N32" s="2">
        <v>534.79999999999995</v>
      </c>
      <c r="O32" s="2">
        <v>105.2</v>
      </c>
      <c r="P32" s="2">
        <v>196.3</v>
      </c>
      <c r="Q32" s="2">
        <v>29.874199999999998</v>
      </c>
      <c r="R32" s="2">
        <v>26.169899999999998</v>
      </c>
      <c r="S32" s="2">
        <v>3.3460999999999999</v>
      </c>
      <c r="T32" s="2">
        <v>59.3902</v>
      </c>
    </row>
    <row r="33" spans="1:20" x14ac:dyDescent="0.25">
      <c r="A33" s="3">
        <v>30</v>
      </c>
      <c r="B33" s="3">
        <v>2023</v>
      </c>
      <c r="C33" s="3" t="s">
        <v>32</v>
      </c>
      <c r="D33" s="3" t="s">
        <v>1478</v>
      </c>
      <c r="E33" s="3" t="s">
        <v>1519</v>
      </c>
      <c r="F33" s="3">
        <v>252.07</v>
      </c>
      <c r="G33" s="3" t="s">
        <v>1506</v>
      </c>
      <c r="H33" s="3">
        <v>58</v>
      </c>
      <c r="I33" s="3">
        <v>9</v>
      </c>
      <c r="J33" s="3">
        <v>34</v>
      </c>
      <c r="K33" s="3">
        <v>0</v>
      </c>
      <c r="L33" s="3">
        <v>0</v>
      </c>
      <c r="M33" s="3">
        <v>529.79999999999995</v>
      </c>
      <c r="N33" s="3">
        <v>1109.2</v>
      </c>
      <c r="O33" s="3">
        <v>113.1</v>
      </c>
      <c r="P33" s="3">
        <v>261</v>
      </c>
      <c r="Q33" s="3">
        <v>77.457099999999997</v>
      </c>
      <c r="R33" s="3">
        <v>25.163599999999999</v>
      </c>
      <c r="S33" s="3">
        <v>9.6930999999999994</v>
      </c>
      <c r="T33" s="3">
        <v>112.3138</v>
      </c>
    </row>
    <row r="34" spans="1:20" x14ac:dyDescent="0.25">
      <c r="A34" s="2">
        <v>31</v>
      </c>
      <c r="B34" s="2">
        <v>2023</v>
      </c>
      <c r="C34" s="2" t="s">
        <v>39</v>
      </c>
      <c r="D34" s="2" t="s">
        <v>1481</v>
      </c>
      <c r="E34" s="2" t="s">
        <v>1520</v>
      </c>
      <c r="F34" s="2">
        <v>129.41</v>
      </c>
      <c r="G34" s="2" t="s">
        <v>1484</v>
      </c>
      <c r="H34" s="2">
        <v>41</v>
      </c>
      <c r="I34" s="2">
        <v>13</v>
      </c>
      <c r="J34" s="2">
        <v>21</v>
      </c>
      <c r="K34" s="2">
        <v>25</v>
      </c>
      <c r="L34" s="2">
        <v>0</v>
      </c>
      <c r="M34" s="2">
        <v>839.9</v>
      </c>
      <c r="N34" s="2">
        <v>2155.5</v>
      </c>
      <c r="O34" s="2">
        <v>52.2</v>
      </c>
      <c r="P34" s="2">
        <v>213.5</v>
      </c>
      <c r="Q34" s="2">
        <v>44.563499999999998</v>
      </c>
      <c r="R34" s="2">
        <v>36.262599999999999</v>
      </c>
      <c r="S34" s="2">
        <v>1.4186000000000001</v>
      </c>
      <c r="T34" s="2">
        <v>82.244699999999995</v>
      </c>
    </row>
    <row r="35" spans="1:20" ht="24" x14ac:dyDescent="0.25">
      <c r="A35" s="3">
        <v>32</v>
      </c>
      <c r="B35" s="3">
        <v>2023</v>
      </c>
      <c r="C35" s="3" t="s">
        <v>46</v>
      </c>
      <c r="D35" s="3" t="s">
        <v>67</v>
      </c>
      <c r="E35" s="3" t="s">
        <v>1521</v>
      </c>
      <c r="F35" s="3">
        <v>242.69</v>
      </c>
      <c r="G35" s="3" t="s">
        <v>49</v>
      </c>
      <c r="H35" s="3">
        <v>27</v>
      </c>
      <c r="I35" s="3">
        <v>26</v>
      </c>
      <c r="J35" s="3">
        <v>26</v>
      </c>
      <c r="K35" s="3">
        <v>21</v>
      </c>
      <c r="L35" s="3">
        <v>0</v>
      </c>
      <c r="M35" s="3">
        <v>1069</v>
      </c>
      <c r="N35" s="3">
        <v>541.5</v>
      </c>
      <c r="O35" s="3">
        <v>147</v>
      </c>
      <c r="P35" s="3">
        <v>422.5</v>
      </c>
      <c r="Q35" s="3">
        <v>70.047600000000003</v>
      </c>
      <c r="R35" s="3">
        <v>34.168300000000002</v>
      </c>
      <c r="S35" s="3">
        <v>9.2756000000000007</v>
      </c>
      <c r="T35" s="3">
        <v>113.4915</v>
      </c>
    </row>
    <row r="36" spans="1:20" x14ac:dyDescent="0.25">
      <c r="A36" s="2">
        <v>33</v>
      </c>
      <c r="B36" s="2">
        <v>2023</v>
      </c>
      <c r="C36" s="2" t="s">
        <v>22</v>
      </c>
      <c r="D36" s="2" t="s">
        <v>1491</v>
      </c>
      <c r="E36" s="2" t="s">
        <v>1522</v>
      </c>
      <c r="F36" s="2">
        <v>249.42</v>
      </c>
      <c r="G36" s="2" t="s">
        <v>1480</v>
      </c>
      <c r="H36" s="2">
        <v>25</v>
      </c>
      <c r="I36" s="2">
        <v>23</v>
      </c>
      <c r="J36" s="2">
        <v>33</v>
      </c>
      <c r="K36" s="2">
        <v>19</v>
      </c>
      <c r="L36" s="2">
        <v>0</v>
      </c>
      <c r="M36" s="2">
        <v>1041.4000000000001</v>
      </c>
      <c r="N36" s="2">
        <v>1361.4</v>
      </c>
      <c r="O36" s="2">
        <v>38.9</v>
      </c>
      <c r="P36" s="2">
        <v>115.7</v>
      </c>
      <c r="Q36" s="2">
        <v>64.936499999999995</v>
      </c>
      <c r="R36" s="2">
        <v>78.0989</v>
      </c>
      <c r="S36" s="2">
        <v>3.2018</v>
      </c>
      <c r="T36" s="2">
        <v>146.2372</v>
      </c>
    </row>
    <row r="37" spans="1:20" ht="24" x14ac:dyDescent="0.25">
      <c r="A37" s="3">
        <v>34</v>
      </c>
      <c r="B37" s="3">
        <v>2023</v>
      </c>
      <c r="C37" s="3" t="s">
        <v>32</v>
      </c>
      <c r="D37" s="3" t="s">
        <v>1493</v>
      </c>
      <c r="E37" s="3" t="s">
        <v>1523</v>
      </c>
      <c r="F37" s="3">
        <v>482.76</v>
      </c>
      <c r="G37" s="3" t="s">
        <v>49</v>
      </c>
      <c r="H37" s="3">
        <v>50</v>
      </c>
      <c r="I37" s="3">
        <v>26</v>
      </c>
      <c r="J37" s="3">
        <v>27</v>
      </c>
      <c r="K37" s="3">
        <v>0</v>
      </c>
      <c r="L37" s="3">
        <v>0</v>
      </c>
      <c r="M37" s="3">
        <v>1214.3</v>
      </c>
      <c r="N37" s="3">
        <v>1398.5</v>
      </c>
      <c r="O37" s="3">
        <v>144.19999999999999</v>
      </c>
      <c r="P37" s="3">
        <v>290.8</v>
      </c>
      <c r="Q37" s="3">
        <v>293.10770000000002</v>
      </c>
      <c r="R37" s="3">
        <v>175.53639999999999</v>
      </c>
      <c r="S37" s="3">
        <v>18.7958</v>
      </c>
      <c r="T37" s="3">
        <v>487.43990000000002</v>
      </c>
    </row>
    <row r="38" spans="1:20" x14ac:dyDescent="0.25">
      <c r="A38" s="2">
        <v>35</v>
      </c>
      <c r="B38" s="2">
        <v>2023</v>
      </c>
      <c r="C38" s="2" t="s">
        <v>39</v>
      </c>
      <c r="D38" s="2" t="s">
        <v>1478</v>
      </c>
      <c r="E38" s="2" t="s">
        <v>1524</v>
      </c>
      <c r="F38" s="2">
        <v>444.11</v>
      </c>
      <c r="G38" s="2" t="s">
        <v>1484</v>
      </c>
      <c r="H38" s="2">
        <v>35</v>
      </c>
      <c r="I38" s="2">
        <v>23</v>
      </c>
      <c r="J38" s="2">
        <v>23</v>
      </c>
      <c r="K38" s="2">
        <v>19</v>
      </c>
      <c r="L38" s="2">
        <v>0</v>
      </c>
      <c r="M38" s="2">
        <v>1253.5</v>
      </c>
      <c r="N38" s="2">
        <v>1052.5</v>
      </c>
      <c r="O38" s="2">
        <v>36.700000000000003</v>
      </c>
      <c r="P38" s="2">
        <v>311.8</v>
      </c>
      <c r="Q38" s="2">
        <v>194.84219999999999</v>
      </c>
      <c r="R38" s="2">
        <v>107.50790000000001</v>
      </c>
      <c r="S38" s="2">
        <v>3.7486999999999999</v>
      </c>
      <c r="T38" s="2">
        <v>306.09879999999998</v>
      </c>
    </row>
    <row r="39" spans="1:20" x14ac:dyDescent="0.25">
      <c r="A39" s="3">
        <v>36</v>
      </c>
      <c r="B39" s="3">
        <v>2023</v>
      </c>
      <c r="C39" s="3" t="s">
        <v>46</v>
      </c>
      <c r="D39" s="3" t="s">
        <v>1485</v>
      </c>
      <c r="E39" s="3" t="s">
        <v>1525</v>
      </c>
      <c r="F39" s="3">
        <v>62.36</v>
      </c>
      <c r="G39" s="3" t="s">
        <v>1477</v>
      </c>
      <c r="H39" s="3">
        <v>60</v>
      </c>
      <c r="I39" s="3">
        <v>19</v>
      </c>
      <c r="J39" s="3">
        <v>28</v>
      </c>
      <c r="K39" s="3">
        <v>0</v>
      </c>
      <c r="L39" s="3">
        <v>0</v>
      </c>
      <c r="M39" s="3">
        <v>1272.9000000000001</v>
      </c>
      <c r="N39" s="3">
        <v>2084.6999999999998</v>
      </c>
      <c r="O39" s="3">
        <v>50.4</v>
      </c>
      <c r="P39" s="3">
        <v>467.8</v>
      </c>
      <c r="Q39" s="3">
        <v>47.626800000000003</v>
      </c>
      <c r="R39" s="3">
        <v>24.700399999999998</v>
      </c>
      <c r="S39" s="3">
        <v>0.88</v>
      </c>
      <c r="T39" s="3">
        <v>73.2072</v>
      </c>
    </row>
    <row r="40" spans="1:20" x14ac:dyDescent="0.25">
      <c r="A40" s="2">
        <v>37</v>
      </c>
      <c r="B40" s="2">
        <v>2023</v>
      </c>
      <c r="C40" s="2" t="s">
        <v>22</v>
      </c>
      <c r="D40" s="2" t="s">
        <v>1475</v>
      </c>
      <c r="E40" s="2" t="s">
        <v>1526</v>
      </c>
      <c r="F40" s="2">
        <v>233.69</v>
      </c>
      <c r="G40" s="2" t="s">
        <v>705</v>
      </c>
      <c r="H40" s="2">
        <v>19</v>
      </c>
      <c r="I40" s="2">
        <v>21</v>
      </c>
      <c r="J40" s="2">
        <v>40</v>
      </c>
      <c r="K40" s="2">
        <v>20</v>
      </c>
      <c r="L40" s="2">
        <v>0</v>
      </c>
      <c r="M40" s="2">
        <v>696.3</v>
      </c>
      <c r="N40" s="2">
        <v>1616.3</v>
      </c>
      <c r="O40" s="2">
        <v>32.799999999999997</v>
      </c>
      <c r="P40" s="2">
        <v>274.7</v>
      </c>
      <c r="Q40" s="2">
        <v>30.916499999999999</v>
      </c>
      <c r="R40" s="2">
        <v>79.319800000000001</v>
      </c>
      <c r="S40" s="2">
        <v>3.0659999999999998</v>
      </c>
      <c r="T40" s="2">
        <v>113.3023</v>
      </c>
    </row>
    <row r="41" spans="1:20" x14ac:dyDescent="0.25">
      <c r="A41" s="3">
        <v>38</v>
      </c>
      <c r="B41" s="3">
        <v>2023</v>
      </c>
      <c r="C41" s="3" t="s">
        <v>32</v>
      </c>
      <c r="D41" s="3" t="s">
        <v>1478</v>
      </c>
      <c r="E41" s="3" t="s">
        <v>1527</v>
      </c>
      <c r="F41" s="3">
        <v>8.7799999999999994</v>
      </c>
      <c r="G41" s="3" t="s">
        <v>1490</v>
      </c>
      <c r="H41" s="3">
        <v>12</v>
      </c>
      <c r="I41" s="3">
        <v>11</v>
      </c>
      <c r="J41" s="3">
        <v>19</v>
      </c>
      <c r="K41" s="3">
        <v>58</v>
      </c>
      <c r="L41" s="3">
        <v>0</v>
      </c>
      <c r="M41" s="3">
        <v>1151.7</v>
      </c>
      <c r="N41" s="3">
        <v>746.9</v>
      </c>
      <c r="O41" s="3">
        <v>78.400000000000006</v>
      </c>
      <c r="P41" s="3">
        <v>82</v>
      </c>
      <c r="Q41" s="3">
        <v>1.2134</v>
      </c>
      <c r="R41" s="3">
        <v>0.72140000000000004</v>
      </c>
      <c r="S41" s="3">
        <v>0.1308</v>
      </c>
      <c r="T41" s="3">
        <v>2.0655999999999999</v>
      </c>
    </row>
    <row r="42" spans="1:20" x14ac:dyDescent="0.25">
      <c r="A42" s="2">
        <v>39</v>
      </c>
      <c r="B42" s="2">
        <v>2023</v>
      </c>
      <c r="C42" s="2" t="s">
        <v>39</v>
      </c>
      <c r="D42" s="2" t="s">
        <v>67</v>
      </c>
      <c r="E42" s="2" t="s">
        <v>1528</v>
      </c>
      <c r="F42" s="2">
        <v>25.9</v>
      </c>
      <c r="G42" s="2" t="s">
        <v>1480</v>
      </c>
      <c r="H42" s="2">
        <v>18</v>
      </c>
      <c r="I42" s="2">
        <v>16</v>
      </c>
      <c r="J42" s="2">
        <v>38</v>
      </c>
      <c r="K42" s="2">
        <v>28</v>
      </c>
      <c r="L42" s="2">
        <v>0</v>
      </c>
      <c r="M42" s="2">
        <v>690.8</v>
      </c>
      <c r="N42" s="2">
        <v>2218</v>
      </c>
      <c r="O42" s="2">
        <v>103.1</v>
      </c>
      <c r="P42" s="2">
        <v>387.6</v>
      </c>
      <c r="Q42" s="2">
        <v>3.2204999999999999</v>
      </c>
      <c r="R42" s="2">
        <v>9.1913999999999998</v>
      </c>
      <c r="S42" s="2">
        <v>1.0146999999999999</v>
      </c>
      <c r="T42" s="2">
        <v>13.426600000000001</v>
      </c>
    </row>
    <row r="43" spans="1:20" x14ac:dyDescent="0.25">
      <c r="A43" s="3">
        <v>40</v>
      </c>
      <c r="B43" s="3">
        <v>2023</v>
      </c>
      <c r="C43" s="3" t="s">
        <v>46</v>
      </c>
      <c r="D43" s="3" t="s">
        <v>1478</v>
      </c>
      <c r="E43" s="3" t="s">
        <v>1529</v>
      </c>
      <c r="F43" s="3">
        <v>356.89</v>
      </c>
      <c r="G43" s="3" t="s">
        <v>1503</v>
      </c>
      <c r="H43" s="3">
        <v>19</v>
      </c>
      <c r="I43" s="3">
        <v>28</v>
      </c>
      <c r="J43" s="3">
        <v>16</v>
      </c>
      <c r="K43" s="3">
        <v>37</v>
      </c>
      <c r="L43" s="3">
        <v>0</v>
      </c>
      <c r="M43" s="3">
        <v>817.2</v>
      </c>
      <c r="N43" s="3">
        <v>2336.5</v>
      </c>
      <c r="O43" s="3">
        <v>50.7</v>
      </c>
      <c r="P43" s="3">
        <v>92.9</v>
      </c>
      <c r="Q43" s="3">
        <v>55.413600000000002</v>
      </c>
      <c r="R43" s="3">
        <v>233.4846</v>
      </c>
      <c r="S43" s="3">
        <v>2.8950999999999998</v>
      </c>
      <c r="T43" s="3">
        <v>291.79329999999999</v>
      </c>
    </row>
    <row r="44" spans="1:20" x14ac:dyDescent="0.25">
      <c r="A44" s="2">
        <v>41</v>
      </c>
      <c r="B44" s="2">
        <v>2023</v>
      </c>
      <c r="C44" s="2" t="s">
        <v>22</v>
      </c>
      <c r="D44" s="2" t="s">
        <v>1488</v>
      </c>
      <c r="E44" s="2" t="s">
        <v>1530</v>
      </c>
      <c r="F44" s="2">
        <v>406.04</v>
      </c>
      <c r="G44" s="2" t="s">
        <v>705</v>
      </c>
      <c r="H44" s="2">
        <v>50</v>
      </c>
      <c r="I44" s="2">
        <v>17</v>
      </c>
      <c r="J44" s="2">
        <v>23</v>
      </c>
      <c r="K44" s="2">
        <v>10</v>
      </c>
      <c r="L44" s="2">
        <v>0</v>
      </c>
      <c r="M44" s="2">
        <v>789.2</v>
      </c>
      <c r="N44" s="2">
        <v>2308.3000000000002</v>
      </c>
      <c r="O44" s="2">
        <v>135</v>
      </c>
      <c r="P44" s="2">
        <v>448.1</v>
      </c>
      <c r="Q44" s="2">
        <v>160.2234</v>
      </c>
      <c r="R44" s="2">
        <v>159.33459999999999</v>
      </c>
      <c r="S44" s="2">
        <v>12.6075</v>
      </c>
      <c r="T44" s="2">
        <v>332.16550000000001</v>
      </c>
    </row>
    <row r="45" spans="1:20" x14ac:dyDescent="0.25">
      <c r="A45" s="3">
        <v>42</v>
      </c>
      <c r="B45" s="3">
        <v>2023</v>
      </c>
      <c r="C45" s="3" t="s">
        <v>32</v>
      </c>
      <c r="D45" s="3" t="s">
        <v>67</v>
      </c>
      <c r="E45" s="3" t="s">
        <v>1531</v>
      </c>
      <c r="F45" s="3">
        <v>87.48</v>
      </c>
      <c r="G45" s="3" t="s">
        <v>696</v>
      </c>
      <c r="H45" s="3">
        <v>37</v>
      </c>
      <c r="I45" s="3">
        <v>26</v>
      </c>
      <c r="J45" s="3">
        <v>38</v>
      </c>
      <c r="K45" s="3">
        <v>0</v>
      </c>
      <c r="L45" s="3">
        <v>0</v>
      </c>
      <c r="M45" s="3">
        <v>724.1</v>
      </c>
      <c r="N45" s="3">
        <v>1656.3</v>
      </c>
      <c r="O45" s="3">
        <v>105.7</v>
      </c>
      <c r="P45" s="3">
        <v>159.80000000000001</v>
      </c>
      <c r="Q45" s="3">
        <v>23.4374</v>
      </c>
      <c r="R45" s="3">
        <v>37.672199999999997</v>
      </c>
      <c r="S45" s="3">
        <v>3.5137</v>
      </c>
      <c r="T45" s="3">
        <v>64.6233</v>
      </c>
    </row>
    <row r="46" spans="1:20" x14ac:dyDescent="0.25">
      <c r="A46" s="2">
        <v>43</v>
      </c>
      <c r="B46" s="2">
        <v>2023</v>
      </c>
      <c r="C46" s="2" t="s">
        <v>39</v>
      </c>
      <c r="D46" s="2" t="s">
        <v>1491</v>
      </c>
      <c r="E46" s="2" t="s">
        <v>1532</v>
      </c>
      <c r="F46" s="2">
        <v>277.58999999999997</v>
      </c>
      <c r="G46" s="2" t="s">
        <v>1480</v>
      </c>
      <c r="H46" s="2">
        <v>29</v>
      </c>
      <c r="I46" s="2">
        <v>14</v>
      </c>
      <c r="J46" s="2">
        <v>12</v>
      </c>
      <c r="K46" s="2">
        <v>45</v>
      </c>
      <c r="L46" s="2">
        <v>0</v>
      </c>
      <c r="M46" s="2">
        <v>702.7</v>
      </c>
      <c r="N46" s="2">
        <v>2354.1999999999998</v>
      </c>
      <c r="O46" s="2">
        <v>74.599999999999994</v>
      </c>
      <c r="P46" s="2">
        <v>153.30000000000001</v>
      </c>
      <c r="Q46" s="2">
        <v>56.568100000000001</v>
      </c>
      <c r="R46" s="2">
        <v>91.490300000000005</v>
      </c>
      <c r="S46" s="2">
        <v>2.4849999999999999</v>
      </c>
      <c r="T46" s="2">
        <v>150.54339999999999</v>
      </c>
    </row>
    <row r="47" spans="1:20" x14ac:dyDescent="0.25">
      <c r="A47" s="3">
        <v>44</v>
      </c>
      <c r="B47" s="3">
        <v>2023</v>
      </c>
      <c r="C47" s="3" t="s">
        <v>46</v>
      </c>
      <c r="D47" s="3" t="s">
        <v>1485</v>
      </c>
      <c r="E47" s="3" t="s">
        <v>1533</v>
      </c>
      <c r="F47" s="3">
        <v>70.17</v>
      </c>
      <c r="G47" s="3" t="s">
        <v>696</v>
      </c>
      <c r="H47" s="3">
        <v>38</v>
      </c>
      <c r="I47" s="3">
        <v>27</v>
      </c>
      <c r="J47" s="3">
        <v>20</v>
      </c>
      <c r="K47" s="3">
        <v>15</v>
      </c>
      <c r="L47" s="3">
        <v>0</v>
      </c>
      <c r="M47" s="3">
        <v>878.2</v>
      </c>
      <c r="N47" s="3">
        <v>1870.3</v>
      </c>
      <c r="O47" s="3">
        <v>60.1</v>
      </c>
      <c r="P47" s="3">
        <v>221.7</v>
      </c>
      <c r="Q47" s="3">
        <v>23.416899999999998</v>
      </c>
      <c r="R47" s="3">
        <v>35.4345</v>
      </c>
      <c r="S47" s="3">
        <v>0.84340000000000004</v>
      </c>
      <c r="T47" s="3">
        <v>59.694800000000001</v>
      </c>
    </row>
    <row r="48" spans="1:20" x14ac:dyDescent="0.25">
      <c r="A48" s="2">
        <v>45</v>
      </c>
      <c r="B48" s="2">
        <v>2023</v>
      </c>
      <c r="C48" s="2" t="s">
        <v>22</v>
      </c>
      <c r="D48" s="2" t="s">
        <v>1488</v>
      </c>
      <c r="E48" s="2" t="s">
        <v>1534</v>
      </c>
      <c r="F48" s="2">
        <v>480.76</v>
      </c>
      <c r="G48" s="2" t="s">
        <v>705</v>
      </c>
      <c r="H48" s="2">
        <v>39</v>
      </c>
      <c r="I48" s="2">
        <v>5</v>
      </c>
      <c r="J48" s="2">
        <v>39</v>
      </c>
      <c r="K48" s="2">
        <v>17</v>
      </c>
      <c r="L48" s="2">
        <v>0</v>
      </c>
      <c r="M48" s="2">
        <v>925.1</v>
      </c>
      <c r="N48" s="2">
        <v>2415</v>
      </c>
      <c r="O48" s="2">
        <v>68.900000000000006</v>
      </c>
      <c r="P48" s="2">
        <v>382.3</v>
      </c>
      <c r="Q48" s="2">
        <v>173.4529</v>
      </c>
      <c r="R48" s="2">
        <v>58.0518</v>
      </c>
      <c r="S48" s="2">
        <v>12.9185</v>
      </c>
      <c r="T48" s="2">
        <v>244.42320000000001</v>
      </c>
    </row>
    <row r="49" spans="1:20" x14ac:dyDescent="0.25">
      <c r="A49" s="3">
        <v>46</v>
      </c>
      <c r="B49" s="3">
        <v>2023</v>
      </c>
      <c r="C49" s="3" t="s">
        <v>32</v>
      </c>
      <c r="D49" s="3" t="s">
        <v>1491</v>
      </c>
      <c r="E49" s="3" t="s">
        <v>1535</v>
      </c>
      <c r="F49" s="3">
        <v>393.53</v>
      </c>
      <c r="G49" s="3" t="s">
        <v>1477</v>
      </c>
      <c r="H49" s="3">
        <v>47</v>
      </c>
      <c r="I49" s="3">
        <v>21</v>
      </c>
      <c r="J49" s="3">
        <v>21</v>
      </c>
      <c r="K49" s="3">
        <v>11</v>
      </c>
      <c r="L49" s="3">
        <v>0</v>
      </c>
      <c r="M49" s="3">
        <v>558.20000000000005</v>
      </c>
      <c r="N49" s="3">
        <v>1586.5</v>
      </c>
      <c r="O49" s="3">
        <v>89.2</v>
      </c>
      <c r="P49" s="3">
        <v>197.3</v>
      </c>
      <c r="Q49" s="3">
        <v>103.24420000000001</v>
      </c>
      <c r="R49" s="3">
        <v>131.1104</v>
      </c>
      <c r="S49" s="3">
        <v>7.3715999999999999</v>
      </c>
      <c r="T49" s="3">
        <v>241.72620000000001</v>
      </c>
    </row>
    <row r="50" spans="1:20" x14ac:dyDescent="0.25">
      <c r="A50" s="2">
        <v>47</v>
      </c>
      <c r="B50" s="2">
        <v>2023</v>
      </c>
      <c r="C50" s="2" t="s">
        <v>39</v>
      </c>
      <c r="D50" s="2" t="s">
        <v>1493</v>
      </c>
      <c r="E50" s="2" t="s">
        <v>1536</v>
      </c>
      <c r="F50" s="2">
        <v>202.07</v>
      </c>
      <c r="G50" s="2" t="s">
        <v>1480</v>
      </c>
      <c r="H50" s="2">
        <v>10</v>
      </c>
      <c r="I50" s="2">
        <v>19</v>
      </c>
      <c r="J50" s="2">
        <v>35</v>
      </c>
      <c r="K50" s="2">
        <v>36</v>
      </c>
      <c r="L50" s="2">
        <v>0</v>
      </c>
      <c r="M50" s="2">
        <v>1098.5</v>
      </c>
      <c r="N50" s="2">
        <v>1536</v>
      </c>
      <c r="O50" s="2">
        <v>127.5</v>
      </c>
      <c r="P50" s="2">
        <v>113.9</v>
      </c>
      <c r="Q50" s="2">
        <v>22.197399999999998</v>
      </c>
      <c r="R50" s="2">
        <v>58.972099999999998</v>
      </c>
      <c r="S50" s="2">
        <v>9.0174000000000003</v>
      </c>
      <c r="T50" s="2">
        <v>90.186899999999994</v>
      </c>
    </row>
    <row r="51" spans="1:20" x14ac:dyDescent="0.25">
      <c r="A51" s="3">
        <v>48</v>
      </c>
      <c r="B51" s="3">
        <v>2023</v>
      </c>
      <c r="C51" s="3" t="s">
        <v>46</v>
      </c>
      <c r="D51" s="3" t="s">
        <v>1481</v>
      </c>
      <c r="E51" s="3" t="s">
        <v>1537</v>
      </c>
      <c r="F51" s="3">
        <v>167.41</v>
      </c>
      <c r="G51" s="3" t="s">
        <v>1490</v>
      </c>
      <c r="H51" s="3">
        <v>16</v>
      </c>
      <c r="I51" s="3">
        <v>14</v>
      </c>
      <c r="J51" s="3">
        <v>28</v>
      </c>
      <c r="K51" s="3">
        <v>42</v>
      </c>
      <c r="L51" s="3">
        <v>0</v>
      </c>
      <c r="M51" s="3">
        <v>859.2</v>
      </c>
      <c r="N51" s="3">
        <v>1162.5999999999999</v>
      </c>
      <c r="O51" s="3">
        <v>18.5</v>
      </c>
      <c r="P51" s="3">
        <v>376.2</v>
      </c>
      <c r="Q51" s="3">
        <v>23.014199999999999</v>
      </c>
      <c r="R51" s="3">
        <v>27.2483</v>
      </c>
      <c r="S51" s="3">
        <v>0.86719999999999997</v>
      </c>
      <c r="T51" s="3">
        <v>51.1297</v>
      </c>
    </row>
    <row r="52" spans="1:20" x14ac:dyDescent="0.25">
      <c r="A52" s="2">
        <v>49</v>
      </c>
      <c r="B52" s="2">
        <v>2023</v>
      </c>
      <c r="C52" s="2" t="s">
        <v>22</v>
      </c>
      <c r="D52" s="2" t="s">
        <v>67</v>
      </c>
      <c r="E52" s="2" t="s">
        <v>1538</v>
      </c>
      <c r="F52" s="2">
        <v>351.08</v>
      </c>
      <c r="G52" s="2" t="s">
        <v>705</v>
      </c>
      <c r="H52" s="2">
        <v>43</v>
      </c>
      <c r="I52" s="2">
        <v>9</v>
      </c>
      <c r="J52" s="2">
        <v>27</v>
      </c>
      <c r="K52" s="2">
        <v>21</v>
      </c>
      <c r="L52" s="2">
        <v>0</v>
      </c>
      <c r="M52" s="2">
        <v>1079.4000000000001</v>
      </c>
      <c r="N52" s="2">
        <v>1490.6</v>
      </c>
      <c r="O52" s="2">
        <v>41.3</v>
      </c>
      <c r="P52" s="2">
        <v>350.3</v>
      </c>
      <c r="Q52" s="2">
        <v>162.95099999999999</v>
      </c>
      <c r="R52" s="2">
        <v>47.098799999999997</v>
      </c>
      <c r="S52" s="2">
        <v>3.9148999999999998</v>
      </c>
      <c r="T52" s="2">
        <v>213.96469999999999</v>
      </c>
    </row>
    <row r="53" spans="1:20" x14ac:dyDescent="0.25">
      <c r="A53" s="3">
        <v>50</v>
      </c>
      <c r="B53" s="3">
        <v>2023</v>
      </c>
      <c r="C53" s="3" t="s">
        <v>32</v>
      </c>
      <c r="D53" s="3" t="s">
        <v>1488</v>
      </c>
      <c r="E53" s="3" t="s">
        <v>1539</v>
      </c>
      <c r="F53" s="3">
        <v>314.49</v>
      </c>
      <c r="G53" s="3" t="s">
        <v>1480</v>
      </c>
      <c r="H53" s="3">
        <v>56</v>
      </c>
      <c r="I53" s="3">
        <v>5</v>
      </c>
      <c r="J53" s="3">
        <v>35</v>
      </c>
      <c r="K53" s="3">
        <v>4</v>
      </c>
      <c r="L53" s="3">
        <v>0</v>
      </c>
      <c r="M53" s="3">
        <v>862.2</v>
      </c>
      <c r="N53" s="3">
        <v>1875.5</v>
      </c>
      <c r="O53" s="3">
        <v>26.1</v>
      </c>
      <c r="P53" s="3">
        <v>80</v>
      </c>
      <c r="Q53" s="3">
        <v>151.8458</v>
      </c>
      <c r="R53" s="3">
        <v>29.491299999999999</v>
      </c>
      <c r="S53" s="3">
        <v>2.8729</v>
      </c>
      <c r="T53" s="3">
        <v>184.21</v>
      </c>
    </row>
    <row r="54" spans="1:20" x14ac:dyDescent="0.25">
      <c r="A54" s="2">
        <v>51</v>
      </c>
      <c r="B54" s="2">
        <v>2023</v>
      </c>
      <c r="C54" s="2" t="s">
        <v>39</v>
      </c>
      <c r="D54" s="2" t="s">
        <v>1475</v>
      </c>
      <c r="E54" s="2" t="s">
        <v>1540</v>
      </c>
      <c r="F54" s="2">
        <v>260.39</v>
      </c>
      <c r="G54" s="2" t="s">
        <v>705</v>
      </c>
      <c r="H54" s="2">
        <v>25</v>
      </c>
      <c r="I54" s="2">
        <v>11</v>
      </c>
      <c r="J54" s="2">
        <v>13</v>
      </c>
      <c r="K54" s="2">
        <v>51</v>
      </c>
      <c r="L54" s="2">
        <v>0</v>
      </c>
      <c r="M54" s="2">
        <v>852.7</v>
      </c>
      <c r="N54" s="2">
        <v>2165.5</v>
      </c>
      <c r="O54" s="2">
        <v>72.099999999999994</v>
      </c>
      <c r="P54" s="2">
        <v>102.3</v>
      </c>
      <c r="Q54" s="2">
        <v>55.508600000000001</v>
      </c>
      <c r="R54" s="2">
        <v>62.026200000000003</v>
      </c>
      <c r="S54" s="2">
        <v>2.4405999999999999</v>
      </c>
      <c r="T54" s="2">
        <v>119.97539999999999</v>
      </c>
    </row>
    <row r="55" spans="1:20" x14ac:dyDescent="0.25">
      <c r="A55" s="3">
        <v>52</v>
      </c>
      <c r="B55" s="3">
        <v>2023</v>
      </c>
      <c r="C55" s="3" t="s">
        <v>46</v>
      </c>
      <c r="D55" s="3" t="s">
        <v>1488</v>
      </c>
      <c r="E55" s="3" t="s">
        <v>1541</v>
      </c>
      <c r="F55" s="3">
        <v>202.87</v>
      </c>
      <c r="G55" s="3" t="s">
        <v>1480</v>
      </c>
      <c r="H55" s="3">
        <v>21</v>
      </c>
      <c r="I55" s="3">
        <v>12</v>
      </c>
      <c r="J55" s="3">
        <v>36</v>
      </c>
      <c r="K55" s="3">
        <v>31</v>
      </c>
      <c r="L55" s="3">
        <v>0</v>
      </c>
      <c r="M55" s="3">
        <v>1170.5999999999999</v>
      </c>
      <c r="N55" s="3">
        <v>1020.5</v>
      </c>
      <c r="O55" s="3">
        <v>95.8</v>
      </c>
      <c r="P55" s="3">
        <v>255.7</v>
      </c>
      <c r="Q55" s="3">
        <v>49.870699999999999</v>
      </c>
      <c r="R55" s="3">
        <v>24.843499999999999</v>
      </c>
      <c r="S55" s="3">
        <v>6.9965999999999999</v>
      </c>
      <c r="T55" s="3">
        <v>81.710800000000006</v>
      </c>
    </row>
    <row r="56" spans="1:20" x14ac:dyDescent="0.25">
      <c r="A56" s="2">
        <v>53</v>
      </c>
      <c r="B56" s="2">
        <v>2023</v>
      </c>
      <c r="C56" s="2" t="s">
        <v>22</v>
      </c>
      <c r="D56" s="2" t="s">
        <v>1481</v>
      </c>
      <c r="E56" s="2" t="s">
        <v>1542</v>
      </c>
      <c r="F56" s="2">
        <v>216.74</v>
      </c>
      <c r="G56" s="2" t="s">
        <v>1503</v>
      </c>
      <c r="H56" s="2">
        <v>50</v>
      </c>
      <c r="I56" s="2">
        <v>5</v>
      </c>
      <c r="J56" s="2">
        <v>15</v>
      </c>
      <c r="K56" s="2">
        <v>30</v>
      </c>
      <c r="L56" s="2">
        <v>0</v>
      </c>
      <c r="M56" s="2">
        <v>570.4</v>
      </c>
      <c r="N56" s="2">
        <v>1989.2</v>
      </c>
      <c r="O56" s="2">
        <v>43.7</v>
      </c>
      <c r="P56" s="2">
        <v>284.60000000000002</v>
      </c>
      <c r="Q56" s="2">
        <v>61.8142</v>
      </c>
      <c r="R56" s="2">
        <v>21.556999999999999</v>
      </c>
      <c r="S56" s="2">
        <v>1.4207000000000001</v>
      </c>
      <c r="T56" s="2">
        <v>84.791899999999998</v>
      </c>
    </row>
    <row r="57" spans="1:20" x14ac:dyDescent="0.25">
      <c r="A57" s="3">
        <v>54</v>
      </c>
      <c r="B57" s="3">
        <v>2023</v>
      </c>
      <c r="C57" s="3" t="s">
        <v>32</v>
      </c>
      <c r="D57" s="3" t="s">
        <v>1491</v>
      </c>
      <c r="E57" s="3" t="s">
        <v>1543</v>
      </c>
      <c r="F57" s="3">
        <v>238.6</v>
      </c>
      <c r="G57" s="3" t="s">
        <v>1480</v>
      </c>
      <c r="H57" s="3">
        <v>28</v>
      </c>
      <c r="I57" s="3">
        <v>14</v>
      </c>
      <c r="J57" s="3">
        <v>31</v>
      </c>
      <c r="K57" s="3">
        <v>27</v>
      </c>
      <c r="L57" s="3">
        <v>0</v>
      </c>
      <c r="M57" s="3">
        <v>535</v>
      </c>
      <c r="N57" s="3">
        <v>1677.5</v>
      </c>
      <c r="O57" s="3">
        <v>61.4</v>
      </c>
      <c r="P57" s="3">
        <v>190.1</v>
      </c>
      <c r="Q57" s="3">
        <v>35.7423</v>
      </c>
      <c r="R57" s="3">
        <v>56.035200000000003</v>
      </c>
      <c r="S57" s="3">
        <v>4.5415000000000001</v>
      </c>
      <c r="T57" s="3">
        <v>96.319000000000003</v>
      </c>
    </row>
    <row r="58" spans="1:20" x14ac:dyDescent="0.25">
      <c r="A58" s="2">
        <v>55</v>
      </c>
      <c r="B58" s="2">
        <v>2023</v>
      </c>
      <c r="C58" s="2" t="s">
        <v>39</v>
      </c>
      <c r="D58" s="2" t="s">
        <v>1544</v>
      </c>
      <c r="E58" s="2" t="s">
        <v>1545</v>
      </c>
      <c r="F58" s="2">
        <v>232.52</v>
      </c>
      <c r="G58" s="2" t="s">
        <v>1484</v>
      </c>
      <c r="H58" s="2">
        <v>37</v>
      </c>
      <c r="I58" s="2">
        <v>9</v>
      </c>
      <c r="J58" s="2">
        <v>10</v>
      </c>
      <c r="K58" s="2">
        <v>44</v>
      </c>
      <c r="L58" s="2">
        <v>0</v>
      </c>
      <c r="M58" s="2">
        <v>690.9</v>
      </c>
      <c r="N58" s="2">
        <v>740.3</v>
      </c>
      <c r="O58" s="2">
        <v>64.5</v>
      </c>
      <c r="P58" s="2">
        <v>312.2</v>
      </c>
      <c r="Q58" s="2">
        <v>59.439799999999998</v>
      </c>
      <c r="R58" s="2">
        <v>15.492100000000001</v>
      </c>
      <c r="S58" s="2">
        <v>1.4998</v>
      </c>
      <c r="T58" s="2">
        <v>76.431700000000006</v>
      </c>
    </row>
    <row r="59" spans="1:20" x14ac:dyDescent="0.25">
      <c r="A59" s="3">
        <v>56</v>
      </c>
      <c r="B59" s="3">
        <v>2023</v>
      </c>
      <c r="C59" s="3" t="s">
        <v>46</v>
      </c>
      <c r="D59" s="3" t="s">
        <v>1481</v>
      </c>
      <c r="E59" s="3" t="s">
        <v>1546</v>
      </c>
      <c r="F59" s="3">
        <v>222.8</v>
      </c>
      <c r="G59" s="3" t="s">
        <v>1506</v>
      </c>
      <c r="H59" s="3">
        <v>32</v>
      </c>
      <c r="I59" s="3">
        <v>9</v>
      </c>
      <c r="J59" s="3">
        <v>24</v>
      </c>
      <c r="K59" s="3">
        <v>35</v>
      </c>
      <c r="L59" s="3">
        <v>0</v>
      </c>
      <c r="M59" s="3">
        <v>1200.0999999999999</v>
      </c>
      <c r="N59" s="3">
        <v>1416.7</v>
      </c>
      <c r="O59" s="3">
        <v>11.3</v>
      </c>
      <c r="P59" s="3">
        <v>143.30000000000001</v>
      </c>
      <c r="Q59" s="3">
        <v>85.562299999999993</v>
      </c>
      <c r="R59" s="3">
        <v>28.407699999999998</v>
      </c>
      <c r="S59" s="3">
        <v>0.60419999999999996</v>
      </c>
      <c r="T59" s="3">
        <v>114.5742</v>
      </c>
    </row>
    <row r="60" spans="1:20" ht="24" x14ac:dyDescent="0.25">
      <c r="A60" s="2">
        <v>57</v>
      </c>
      <c r="B60" s="2">
        <v>2023</v>
      </c>
      <c r="C60" s="2" t="s">
        <v>22</v>
      </c>
      <c r="D60" s="2" t="s">
        <v>1488</v>
      </c>
      <c r="E60" s="2" t="s">
        <v>1547</v>
      </c>
      <c r="F60" s="2">
        <v>106.18</v>
      </c>
      <c r="G60" s="2" t="s">
        <v>49</v>
      </c>
      <c r="H60" s="2">
        <v>55</v>
      </c>
      <c r="I60" s="2">
        <v>21</v>
      </c>
      <c r="J60" s="2">
        <v>22</v>
      </c>
      <c r="K60" s="2">
        <v>2</v>
      </c>
      <c r="L60" s="2">
        <v>0</v>
      </c>
      <c r="M60" s="2">
        <v>886.1</v>
      </c>
      <c r="N60" s="2">
        <v>849</v>
      </c>
      <c r="O60" s="2">
        <v>31.2</v>
      </c>
      <c r="P60" s="2">
        <v>342.4</v>
      </c>
      <c r="Q60" s="2">
        <v>51.747399999999999</v>
      </c>
      <c r="R60" s="2">
        <v>18.930800000000001</v>
      </c>
      <c r="S60" s="2">
        <v>0.7288</v>
      </c>
      <c r="T60" s="2">
        <v>71.406999999999996</v>
      </c>
    </row>
    <row r="61" spans="1:20" x14ac:dyDescent="0.25">
      <c r="A61" s="3">
        <v>58</v>
      </c>
      <c r="B61" s="3">
        <v>2023</v>
      </c>
      <c r="C61" s="3" t="s">
        <v>32</v>
      </c>
      <c r="D61" s="3" t="s">
        <v>1485</v>
      </c>
      <c r="E61" s="3" t="s">
        <v>1548</v>
      </c>
      <c r="F61" s="3">
        <v>230.28</v>
      </c>
      <c r="G61" s="3" t="s">
        <v>696</v>
      </c>
      <c r="H61" s="3">
        <v>60</v>
      </c>
      <c r="I61" s="3">
        <v>9</v>
      </c>
      <c r="J61" s="3">
        <v>18</v>
      </c>
      <c r="K61" s="3">
        <v>13</v>
      </c>
      <c r="L61" s="3">
        <v>0</v>
      </c>
      <c r="M61" s="3">
        <v>1117.2</v>
      </c>
      <c r="N61" s="3">
        <v>1816.9</v>
      </c>
      <c r="O61" s="3">
        <v>139.30000000000001</v>
      </c>
      <c r="P61" s="3">
        <v>107.3</v>
      </c>
      <c r="Q61" s="3">
        <v>154.3613</v>
      </c>
      <c r="R61" s="3">
        <v>37.6556</v>
      </c>
      <c r="S61" s="3">
        <v>5.774</v>
      </c>
      <c r="T61" s="3">
        <v>197.79089999999999</v>
      </c>
    </row>
    <row r="62" spans="1:20" ht="24" x14ac:dyDescent="0.25">
      <c r="A62" s="2">
        <v>59</v>
      </c>
      <c r="B62" s="2">
        <v>2023</v>
      </c>
      <c r="C62" s="2" t="s">
        <v>39</v>
      </c>
      <c r="D62" s="2" t="s">
        <v>67</v>
      </c>
      <c r="E62" s="2" t="s">
        <v>1549</v>
      </c>
      <c r="F62" s="2">
        <v>481.31</v>
      </c>
      <c r="G62" s="2" t="s">
        <v>49</v>
      </c>
      <c r="H62" s="2">
        <v>48</v>
      </c>
      <c r="I62" s="2">
        <v>26</v>
      </c>
      <c r="J62" s="2">
        <v>15</v>
      </c>
      <c r="K62" s="2">
        <v>11</v>
      </c>
      <c r="L62" s="2">
        <v>0</v>
      </c>
      <c r="M62" s="2">
        <v>939.6</v>
      </c>
      <c r="N62" s="2">
        <v>2354.8000000000002</v>
      </c>
      <c r="O62" s="2">
        <v>118.6</v>
      </c>
      <c r="P62" s="2">
        <v>290.2</v>
      </c>
      <c r="Q62" s="2">
        <v>217.07470000000001</v>
      </c>
      <c r="R62" s="2">
        <v>294.68110000000001</v>
      </c>
      <c r="S62" s="2">
        <v>8.5625</v>
      </c>
      <c r="T62" s="2">
        <v>520.31830000000002</v>
      </c>
    </row>
    <row r="63" spans="1:20" x14ac:dyDescent="0.25">
      <c r="A63" s="3">
        <v>60</v>
      </c>
      <c r="B63" s="3">
        <v>2023</v>
      </c>
      <c r="C63" s="3" t="s">
        <v>46</v>
      </c>
      <c r="D63" s="3" t="s">
        <v>67</v>
      </c>
      <c r="E63" s="3" t="s">
        <v>1550</v>
      </c>
      <c r="F63" s="3">
        <v>294.83999999999997</v>
      </c>
      <c r="G63" s="3" t="s">
        <v>1503</v>
      </c>
      <c r="H63" s="3">
        <v>47</v>
      </c>
      <c r="I63" s="3">
        <v>16</v>
      </c>
      <c r="J63" s="3">
        <v>28</v>
      </c>
      <c r="K63" s="3">
        <v>9</v>
      </c>
      <c r="L63" s="3">
        <v>0</v>
      </c>
      <c r="M63" s="3">
        <v>974.9</v>
      </c>
      <c r="N63" s="3">
        <v>1307.5</v>
      </c>
      <c r="O63" s="3">
        <v>16.3</v>
      </c>
      <c r="P63" s="3">
        <v>420.8</v>
      </c>
      <c r="Q63" s="3">
        <v>135.0966</v>
      </c>
      <c r="R63" s="3">
        <v>61.680500000000002</v>
      </c>
      <c r="S63" s="3">
        <v>1.3455999999999999</v>
      </c>
      <c r="T63" s="3">
        <v>198.12270000000001</v>
      </c>
    </row>
    <row r="64" spans="1:20" x14ac:dyDescent="0.25">
      <c r="A64" s="2">
        <v>61</v>
      </c>
      <c r="B64" s="2">
        <v>2023</v>
      </c>
      <c r="C64" s="2" t="s">
        <v>22</v>
      </c>
      <c r="D64" s="2" t="s">
        <v>1501</v>
      </c>
      <c r="E64" s="2" t="s">
        <v>1551</v>
      </c>
      <c r="F64" s="2">
        <v>49.17</v>
      </c>
      <c r="G64" s="2" t="s">
        <v>1480</v>
      </c>
      <c r="H64" s="2">
        <v>16</v>
      </c>
      <c r="I64" s="2">
        <v>20</v>
      </c>
      <c r="J64" s="2">
        <v>39</v>
      </c>
      <c r="K64" s="2">
        <v>25</v>
      </c>
      <c r="L64" s="2">
        <v>0</v>
      </c>
      <c r="M64" s="2">
        <v>1027.4000000000001</v>
      </c>
      <c r="N64" s="2">
        <v>1147.3</v>
      </c>
      <c r="O64" s="2">
        <v>42.4</v>
      </c>
      <c r="P64" s="2">
        <v>388.7</v>
      </c>
      <c r="Q64" s="2">
        <v>8.0828000000000007</v>
      </c>
      <c r="R64" s="2">
        <v>11.282500000000001</v>
      </c>
      <c r="S64" s="2">
        <v>0.81310000000000004</v>
      </c>
      <c r="T64" s="2">
        <v>20.1784</v>
      </c>
    </row>
    <row r="65" spans="1:20" x14ac:dyDescent="0.25">
      <c r="A65" s="3">
        <v>62</v>
      </c>
      <c r="B65" s="3">
        <v>2023</v>
      </c>
      <c r="C65" s="3" t="s">
        <v>32</v>
      </c>
      <c r="D65" s="3" t="s">
        <v>1493</v>
      </c>
      <c r="E65" s="3" t="s">
        <v>1552</v>
      </c>
      <c r="F65" s="3">
        <v>450</v>
      </c>
      <c r="G65" s="3" t="s">
        <v>1480</v>
      </c>
      <c r="H65" s="3">
        <v>21</v>
      </c>
      <c r="I65" s="3">
        <v>28</v>
      </c>
      <c r="J65" s="3">
        <v>38</v>
      </c>
      <c r="K65" s="3">
        <v>13</v>
      </c>
      <c r="L65" s="3">
        <v>0</v>
      </c>
      <c r="M65" s="3">
        <v>776.5</v>
      </c>
      <c r="N65" s="3">
        <v>2446.6</v>
      </c>
      <c r="O65" s="3">
        <v>139.1</v>
      </c>
      <c r="P65" s="3">
        <v>104.8</v>
      </c>
      <c r="Q65" s="3">
        <v>73.379199999999997</v>
      </c>
      <c r="R65" s="3">
        <v>308.27159999999998</v>
      </c>
      <c r="S65" s="3">
        <v>23.786100000000001</v>
      </c>
      <c r="T65" s="3">
        <v>405.43689999999998</v>
      </c>
    </row>
    <row r="66" spans="1:20" x14ac:dyDescent="0.25">
      <c r="A66" s="2">
        <v>63</v>
      </c>
      <c r="B66" s="2">
        <v>2023</v>
      </c>
      <c r="C66" s="2" t="s">
        <v>39</v>
      </c>
      <c r="D66" s="2" t="s">
        <v>1478</v>
      </c>
      <c r="E66" s="2" t="s">
        <v>1553</v>
      </c>
      <c r="F66" s="2">
        <v>19.670000000000002</v>
      </c>
      <c r="G66" s="2" t="s">
        <v>1480</v>
      </c>
      <c r="H66" s="2">
        <v>57</v>
      </c>
      <c r="I66" s="2">
        <v>7</v>
      </c>
      <c r="J66" s="2">
        <v>24</v>
      </c>
      <c r="K66" s="2">
        <v>12</v>
      </c>
      <c r="L66" s="2">
        <v>0</v>
      </c>
      <c r="M66" s="2">
        <v>1098.8</v>
      </c>
      <c r="N66" s="2">
        <v>1713.1</v>
      </c>
      <c r="O66" s="2">
        <v>127.7</v>
      </c>
      <c r="P66" s="2">
        <v>449.4</v>
      </c>
      <c r="Q66" s="2">
        <v>12.319599999999999</v>
      </c>
      <c r="R66" s="2">
        <v>2.3588</v>
      </c>
      <c r="S66" s="2">
        <v>0.6028</v>
      </c>
      <c r="T66" s="2">
        <v>15.2812</v>
      </c>
    </row>
    <row r="67" spans="1:20" x14ac:dyDescent="0.25">
      <c r="A67" s="3">
        <v>64</v>
      </c>
      <c r="B67" s="3">
        <v>2023</v>
      </c>
      <c r="C67" s="3" t="s">
        <v>46</v>
      </c>
      <c r="D67" s="3" t="s">
        <v>1493</v>
      </c>
      <c r="E67" s="3" t="s">
        <v>1554</v>
      </c>
      <c r="F67" s="3">
        <v>349.66</v>
      </c>
      <c r="G67" s="3" t="s">
        <v>1503</v>
      </c>
      <c r="H67" s="3">
        <v>34</v>
      </c>
      <c r="I67" s="3">
        <v>9</v>
      </c>
      <c r="J67" s="3">
        <v>30</v>
      </c>
      <c r="K67" s="3">
        <v>27</v>
      </c>
      <c r="L67" s="3">
        <v>0</v>
      </c>
      <c r="M67" s="3">
        <v>937.7</v>
      </c>
      <c r="N67" s="3">
        <v>899.5</v>
      </c>
      <c r="O67" s="3">
        <v>45.3</v>
      </c>
      <c r="P67" s="3">
        <v>255</v>
      </c>
      <c r="Q67" s="3">
        <v>111.47790000000001</v>
      </c>
      <c r="R67" s="3">
        <v>28.306699999999999</v>
      </c>
      <c r="S67" s="3">
        <v>4.7519</v>
      </c>
      <c r="T67" s="3">
        <v>144.53649999999999</v>
      </c>
    </row>
    <row r="68" spans="1:20" x14ac:dyDescent="0.25">
      <c r="A68" s="2">
        <v>65</v>
      </c>
      <c r="B68" s="2">
        <v>2023</v>
      </c>
      <c r="C68" s="2" t="s">
        <v>22</v>
      </c>
      <c r="D68" s="2" t="s">
        <v>1475</v>
      </c>
      <c r="E68" s="2" t="s">
        <v>1555</v>
      </c>
      <c r="F68" s="2">
        <v>101.4</v>
      </c>
      <c r="G68" s="2" t="s">
        <v>1503</v>
      </c>
      <c r="H68" s="2">
        <v>20</v>
      </c>
      <c r="I68" s="2">
        <v>18</v>
      </c>
      <c r="J68" s="2">
        <v>36</v>
      </c>
      <c r="K68" s="2">
        <v>26</v>
      </c>
      <c r="L68" s="2">
        <v>0</v>
      </c>
      <c r="M68" s="2">
        <v>899.3</v>
      </c>
      <c r="N68" s="2">
        <v>2080</v>
      </c>
      <c r="O68" s="2">
        <v>22</v>
      </c>
      <c r="P68" s="2">
        <v>89.7</v>
      </c>
      <c r="Q68" s="2">
        <v>18.2378</v>
      </c>
      <c r="R68" s="2">
        <v>37.964199999999998</v>
      </c>
      <c r="S68" s="2">
        <v>0.80310000000000004</v>
      </c>
      <c r="T68" s="2">
        <v>57.005099999999999</v>
      </c>
    </row>
    <row r="69" spans="1:20" x14ac:dyDescent="0.25">
      <c r="A69" s="3">
        <v>66</v>
      </c>
      <c r="B69" s="3">
        <v>2023</v>
      </c>
      <c r="C69" s="3" t="s">
        <v>32</v>
      </c>
      <c r="D69" s="3" t="s">
        <v>1481</v>
      </c>
      <c r="E69" s="3" t="s">
        <v>1556</v>
      </c>
      <c r="F69" s="3">
        <v>17.59</v>
      </c>
      <c r="G69" s="3" t="s">
        <v>1487</v>
      </c>
      <c r="H69" s="3">
        <v>18</v>
      </c>
      <c r="I69" s="3">
        <v>5</v>
      </c>
      <c r="J69" s="3">
        <v>21</v>
      </c>
      <c r="K69" s="3">
        <v>56</v>
      </c>
      <c r="L69" s="3">
        <v>0</v>
      </c>
      <c r="M69" s="3">
        <v>1108.2</v>
      </c>
      <c r="N69" s="3">
        <v>1636.6</v>
      </c>
      <c r="O69" s="3">
        <v>131</v>
      </c>
      <c r="P69" s="3">
        <v>216.3</v>
      </c>
      <c r="Q69" s="3">
        <v>3.5087999999999999</v>
      </c>
      <c r="R69" s="3">
        <v>1.4394</v>
      </c>
      <c r="S69" s="3">
        <v>0.4839</v>
      </c>
      <c r="T69" s="3">
        <v>5.4321000000000002</v>
      </c>
    </row>
    <row r="70" spans="1:20" x14ac:dyDescent="0.25">
      <c r="A70" s="2">
        <v>67</v>
      </c>
      <c r="B70" s="2">
        <v>2023</v>
      </c>
      <c r="C70" s="2" t="s">
        <v>39</v>
      </c>
      <c r="D70" s="2" t="s">
        <v>67</v>
      </c>
      <c r="E70" s="2" t="s">
        <v>1557</v>
      </c>
      <c r="F70" s="2">
        <v>95.88</v>
      </c>
      <c r="G70" s="2" t="s">
        <v>1480</v>
      </c>
      <c r="H70" s="2">
        <v>23</v>
      </c>
      <c r="I70" s="2">
        <v>23</v>
      </c>
      <c r="J70" s="2">
        <v>36</v>
      </c>
      <c r="K70" s="2">
        <v>18</v>
      </c>
      <c r="L70" s="2">
        <v>0</v>
      </c>
      <c r="M70" s="2">
        <v>852.7</v>
      </c>
      <c r="N70" s="2">
        <v>1204.2</v>
      </c>
      <c r="O70" s="2">
        <v>96.6</v>
      </c>
      <c r="P70" s="2">
        <v>303.5</v>
      </c>
      <c r="Q70" s="2">
        <v>18.804099999999998</v>
      </c>
      <c r="R70" s="2">
        <v>26.555499999999999</v>
      </c>
      <c r="S70" s="2">
        <v>3.3342999999999998</v>
      </c>
      <c r="T70" s="2">
        <v>48.693899999999999</v>
      </c>
    </row>
    <row r="71" spans="1:20" x14ac:dyDescent="0.25">
      <c r="A71" s="3">
        <v>68</v>
      </c>
      <c r="B71" s="3">
        <v>2023</v>
      </c>
      <c r="C71" s="3" t="s">
        <v>46</v>
      </c>
      <c r="D71" s="3" t="s">
        <v>1475</v>
      </c>
      <c r="E71" s="3" t="s">
        <v>1558</v>
      </c>
      <c r="F71" s="3">
        <v>220</v>
      </c>
      <c r="G71" s="3" t="s">
        <v>1487</v>
      </c>
      <c r="H71" s="3">
        <v>50</v>
      </c>
      <c r="I71" s="3">
        <v>17</v>
      </c>
      <c r="J71" s="3">
        <v>37</v>
      </c>
      <c r="K71" s="3">
        <v>0</v>
      </c>
      <c r="L71" s="3">
        <v>0</v>
      </c>
      <c r="M71" s="3">
        <v>510.2</v>
      </c>
      <c r="N71" s="3">
        <v>656.3</v>
      </c>
      <c r="O71" s="3">
        <v>119.5</v>
      </c>
      <c r="P71" s="3">
        <v>199.3</v>
      </c>
      <c r="Q71" s="3">
        <v>56.122</v>
      </c>
      <c r="R71" s="3">
        <v>24.5456</v>
      </c>
      <c r="S71" s="3">
        <v>9.7272999999999996</v>
      </c>
      <c r="T71" s="3">
        <v>90.394900000000007</v>
      </c>
    </row>
    <row r="72" spans="1:20" ht="24" x14ac:dyDescent="0.25">
      <c r="A72" s="2">
        <v>69</v>
      </c>
      <c r="B72" s="2">
        <v>2023</v>
      </c>
      <c r="C72" s="2" t="s">
        <v>22</v>
      </c>
      <c r="D72" s="2" t="s">
        <v>1491</v>
      </c>
      <c r="E72" s="2" t="s">
        <v>1559</v>
      </c>
      <c r="F72" s="2">
        <v>116.06</v>
      </c>
      <c r="G72" s="2" t="s">
        <v>49</v>
      </c>
      <c r="H72" s="2">
        <v>48</v>
      </c>
      <c r="I72" s="2">
        <v>22</v>
      </c>
      <c r="J72" s="2">
        <v>20</v>
      </c>
      <c r="K72" s="2">
        <v>10</v>
      </c>
      <c r="L72" s="2">
        <v>0</v>
      </c>
      <c r="M72" s="2">
        <v>469.2</v>
      </c>
      <c r="N72" s="2">
        <v>2142.6999999999998</v>
      </c>
      <c r="O72" s="2">
        <v>50.6</v>
      </c>
      <c r="P72" s="2">
        <v>411.3</v>
      </c>
      <c r="Q72" s="2">
        <v>26.1386</v>
      </c>
      <c r="R72" s="2">
        <v>54.71</v>
      </c>
      <c r="S72" s="2">
        <v>1.1745000000000001</v>
      </c>
      <c r="T72" s="2">
        <v>82.023099999999999</v>
      </c>
    </row>
    <row r="73" spans="1:20" x14ac:dyDescent="0.25">
      <c r="A73" s="3">
        <v>70</v>
      </c>
      <c r="B73" s="3">
        <v>2023</v>
      </c>
      <c r="C73" s="3" t="s">
        <v>32</v>
      </c>
      <c r="D73" s="3" t="s">
        <v>1493</v>
      </c>
      <c r="E73" s="3" t="s">
        <v>1560</v>
      </c>
      <c r="F73" s="3">
        <v>34.909999999999997</v>
      </c>
      <c r="G73" s="3" t="s">
        <v>696</v>
      </c>
      <c r="H73" s="3">
        <v>20</v>
      </c>
      <c r="I73" s="3">
        <v>14</v>
      </c>
      <c r="J73" s="3">
        <v>12</v>
      </c>
      <c r="K73" s="3">
        <v>54</v>
      </c>
      <c r="L73" s="3">
        <v>0</v>
      </c>
      <c r="M73" s="3">
        <v>904.3</v>
      </c>
      <c r="N73" s="3">
        <v>982.8</v>
      </c>
      <c r="O73" s="3">
        <v>82.5</v>
      </c>
      <c r="P73" s="3">
        <v>324.5</v>
      </c>
      <c r="Q73" s="3">
        <v>6.3137999999999996</v>
      </c>
      <c r="R73" s="3">
        <v>4.8033000000000001</v>
      </c>
      <c r="S73" s="3">
        <v>0.34560000000000002</v>
      </c>
      <c r="T73" s="3">
        <v>11.4627</v>
      </c>
    </row>
    <row r="74" spans="1:20" x14ac:dyDescent="0.25">
      <c r="A74" s="2">
        <v>71</v>
      </c>
      <c r="B74" s="2">
        <v>2023</v>
      </c>
      <c r="C74" s="2" t="s">
        <v>39</v>
      </c>
      <c r="D74" s="2" t="s">
        <v>1544</v>
      </c>
      <c r="E74" s="2" t="s">
        <v>1561</v>
      </c>
      <c r="F74" s="2">
        <v>309.7</v>
      </c>
      <c r="G74" s="2" t="s">
        <v>1490</v>
      </c>
      <c r="H74" s="2">
        <v>44</v>
      </c>
      <c r="I74" s="2">
        <v>27</v>
      </c>
      <c r="J74" s="2">
        <v>38</v>
      </c>
      <c r="K74" s="2">
        <v>0</v>
      </c>
      <c r="L74" s="2">
        <v>0</v>
      </c>
      <c r="M74" s="2">
        <v>544.20000000000005</v>
      </c>
      <c r="N74" s="2">
        <v>1442</v>
      </c>
      <c r="O74" s="2">
        <v>138.4</v>
      </c>
      <c r="P74" s="2">
        <v>185.2</v>
      </c>
      <c r="Q74" s="2">
        <v>74.156999999999996</v>
      </c>
      <c r="R74" s="2">
        <v>120.57859999999999</v>
      </c>
      <c r="S74" s="2">
        <v>16.287700000000001</v>
      </c>
      <c r="T74" s="2">
        <v>211.02330000000001</v>
      </c>
    </row>
    <row r="75" spans="1:20" x14ac:dyDescent="0.25">
      <c r="A75" s="3">
        <v>72</v>
      </c>
      <c r="B75" s="3">
        <v>2023</v>
      </c>
      <c r="C75" s="3" t="s">
        <v>46</v>
      </c>
      <c r="D75" s="3" t="s">
        <v>1478</v>
      </c>
      <c r="E75" s="3" t="s">
        <v>1562</v>
      </c>
      <c r="F75" s="3">
        <v>169.68</v>
      </c>
      <c r="G75" s="3" t="s">
        <v>1490</v>
      </c>
      <c r="H75" s="3">
        <v>26</v>
      </c>
      <c r="I75" s="3">
        <v>11</v>
      </c>
      <c r="J75" s="3">
        <v>20</v>
      </c>
      <c r="K75" s="3">
        <v>43</v>
      </c>
      <c r="L75" s="3">
        <v>0</v>
      </c>
      <c r="M75" s="3">
        <v>1204.8</v>
      </c>
      <c r="N75" s="3">
        <v>618.79999999999995</v>
      </c>
      <c r="O75" s="3">
        <v>38.6</v>
      </c>
      <c r="P75" s="3">
        <v>406.7</v>
      </c>
      <c r="Q75" s="3">
        <v>53.151899999999998</v>
      </c>
      <c r="R75" s="3">
        <v>11.549799999999999</v>
      </c>
      <c r="S75" s="3">
        <v>1.3099000000000001</v>
      </c>
      <c r="T75" s="3">
        <v>66.011600000000001</v>
      </c>
    </row>
    <row r="76" spans="1:20" x14ac:dyDescent="0.25">
      <c r="A76" s="2">
        <v>73</v>
      </c>
      <c r="B76" s="2">
        <v>2023</v>
      </c>
      <c r="C76" s="2" t="s">
        <v>22</v>
      </c>
      <c r="D76" s="2" t="s">
        <v>1478</v>
      </c>
      <c r="E76" s="2" t="s">
        <v>1563</v>
      </c>
      <c r="F76" s="2">
        <v>118.57</v>
      </c>
      <c r="G76" s="2" t="s">
        <v>1480</v>
      </c>
      <c r="H76" s="2">
        <v>14</v>
      </c>
      <c r="I76" s="2">
        <v>30</v>
      </c>
      <c r="J76" s="2">
        <v>40</v>
      </c>
      <c r="K76" s="2">
        <v>16</v>
      </c>
      <c r="L76" s="2">
        <v>0</v>
      </c>
      <c r="M76" s="2">
        <v>929.3</v>
      </c>
      <c r="N76" s="2">
        <v>1720</v>
      </c>
      <c r="O76" s="2">
        <v>126.9</v>
      </c>
      <c r="P76" s="2">
        <v>403</v>
      </c>
      <c r="Q76" s="2">
        <v>15.4262</v>
      </c>
      <c r="R76" s="2">
        <v>61.182099999999998</v>
      </c>
      <c r="S76" s="2">
        <v>6.0186000000000002</v>
      </c>
      <c r="T76" s="2">
        <v>82.626900000000006</v>
      </c>
    </row>
    <row r="77" spans="1:20" x14ac:dyDescent="0.25">
      <c r="A77" s="3">
        <v>74</v>
      </c>
      <c r="B77" s="3">
        <v>2023</v>
      </c>
      <c r="C77" s="3" t="s">
        <v>32</v>
      </c>
      <c r="D77" s="3" t="s">
        <v>1544</v>
      </c>
      <c r="E77" s="3" t="s">
        <v>1564</v>
      </c>
      <c r="F77" s="3">
        <v>475</v>
      </c>
      <c r="G77" s="3" t="s">
        <v>1480</v>
      </c>
      <c r="H77" s="3">
        <v>48</v>
      </c>
      <c r="I77" s="3">
        <v>28</v>
      </c>
      <c r="J77" s="3">
        <v>29</v>
      </c>
      <c r="K77" s="3">
        <v>0</v>
      </c>
      <c r="L77" s="3">
        <v>0</v>
      </c>
      <c r="M77" s="3">
        <v>1240</v>
      </c>
      <c r="N77" s="3">
        <v>2275</v>
      </c>
      <c r="O77" s="3">
        <v>77</v>
      </c>
      <c r="P77" s="3">
        <v>131.80000000000001</v>
      </c>
      <c r="Q77" s="3">
        <v>282.72000000000003</v>
      </c>
      <c r="R77" s="3">
        <v>302.57499999999999</v>
      </c>
      <c r="S77" s="3">
        <v>10.6067</v>
      </c>
      <c r="T77" s="3">
        <v>595.90170000000001</v>
      </c>
    </row>
    <row r="78" spans="1:20" x14ac:dyDescent="0.25">
      <c r="A78" s="2">
        <v>75</v>
      </c>
      <c r="B78" s="2">
        <v>2023</v>
      </c>
      <c r="C78" s="2" t="s">
        <v>39</v>
      </c>
      <c r="D78" s="2" t="s">
        <v>1501</v>
      </c>
      <c r="E78" s="2" t="s">
        <v>1565</v>
      </c>
      <c r="F78" s="2">
        <v>18.760000000000002</v>
      </c>
      <c r="G78" s="2" t="s">
        <v>1490</v>
      </c>
      <c r="H78" s="2">
        <v>42</v>
      </c>
      <c r="I78" s="2">
        <v>12</v>
      </c>
      <c r="J78" s="2">
        <v>30</v>
      </c>
      <c r="K78" s="2">
        <v>16</v>
      </c>
      <c r="L78" s="2">
        <v>0</v>
      </c>
      <c r="M78" s="2">
        <v>747.7</v>
      </c>
      <c r="N78" s="2">
        <v>1455.2</v>
      </c>
      <c r="O78" s="2">
        <v>119.4</v>
      </c>
      <c r="P78" s="2">
        <v>430.6</v>
      </c>
      <c r="Q78" s="2">
        <v>5.8913000000000002</v>
      </c>
      <c r="R78" s="2">
        <v>3.2759</v>
      </c>
      <c r="S78" s="2">
        <v>0.67200000000000004</v>
      </c>
      <c r="T78" s="2">
        <v>9.8391999999999999</v>
      </c>
    </row>
    <row r="79" spans="1:20" x14ac:dyDescent="0.25">
      <c r="A79" s="3">
        <v>76</v>
      </c>
      <c r="B79" s="3">
        <v>2023</v>
      </c>
      <c r="C79" s="3" t="s">
        <v>46</v>
      </c>
      <c r="D79" s="3" t="s">
        <v>1544</v>
      </c>
      <c r="E79" s="3" t="s">
        <v>1566</v>
      </c>
      <c r="F79" s="3">
        <v>465.69</v>
      </c>
      <c r="G79" s="3" t="s">
        <v>1506</v>
      </c>
      <c r="H79" s="3">
        <v>11</v>
      </c>
      <c r="I79" s="3">
        <v>29</v>
      </c>
      <c r="J79" s="3">
        <v>35</v>
      </c>
      <c r="K79" s="3">
        <v>25</v>
      </c>
      <c r="L79" s="3">
        <v>0</v>
      </c>
      <c r="M79" s="3">
        <v>1139.7</v>
      </c>
      <c r="N79" s="3">
        <v>1568.4</v>
      </c>
      <c r="O79" s="3">
        <v>130.4</v>
      </c>
      <c r="P79" s="3">
        <v>352.8</v>
      </c>
      <c r="Q79" s="3">
        <v>58.382199999999997</v>
      </c>
      <c r="R79" s="3">
        <v>211.8126</v>
      </c>
      <c r="S79" s="3">
        <v>21.254100000000001</v>
      </c>
      <c r="T79" s="3">
        <v>291.44889999999998</v>
      </c>
    </row>
    <row r="80" spans="1:20" x14ac:dyDescent="0.25">
      <c r="A80" s="2">
        <v>77</v>
      </c>
      <c r="B80" s="2">
        <v>2023</v>
      </c>
      <c r="C80" s="2" t="s">
        <v>22</v>
      </c>
      <c r="D80" s="2" t="s">
        <v>1485</v>
      </c>
      <c r="E80" s="2" t="s">
        <v>1567</v>
      </c>
      <c r="F80" s="2">
        <v>241.6</v>
      </c>
      <c r="G80" s="2" t="s">
        <v>1480</v>
      </c>
      <c r="H80" s="2">
        <v>34</v>
      </c>
      <c r="I80" s="2">
        <v>29</v>
      </c>
      <c r="J80" s="2">
        <v>22</v>
      </c>
      <c r="K80" s="2">
        <v>15</v>
      </c>
      <c r="L80" s="2">
        <v>0</v>
      </c>
      <c r="M80" s="2">
        <v>1041.0999999999999</v>
      </c>
      <c r="N80" s="2">
        <v>1359.4</v>
      </c>
      <c r="O80" s="2">
        <v>69.8</v>
      </c>
      <c r="P80" s="2">
        <v>135.1</v>
      </c>
      <c r="Q80" s="2">
        <v>85.520099999999999</v>
      </c>
      <c r="R80" s="2">
        <v>95.245000000000005</v>
      </c>
      <c r="S80" s="2">
        <v>3.71</v>
      </c>
      <c r="T80" s="2">
        <v>184.4751</v>
      </c>
    </row>
    <row r="81" spans="1:20" x14ac:dyDescent="0.25">
      <c r="A81" s="3">
        <v>78</v>
      </c>
      <c r="B81" s="3">
        <v>2023</v>
      </c>
      <c r="C81" s="3" t="s">
        <v>32</v>
      </c>
      <c r="D81" s="3" t="s">
        <v>1544</v>
      </c>
      <c r="E81" s="3" t="s">
        <v>1568</v>
      </c>
      <c r="F81" s="3">
        <v>448.68</v>
      </c>
      <c r="G81" s="3" t="s">
        <v>1503</v>
      </c>
      <c r="H81" s="3">
        <v>33</v>
      </c>
      <c r="I81" s="3">
        <v>16</v>
      </c>
      <c r="J81" s="3">
        <v>16</v>
      </c>
      <c r="K81" s="3">
        <v>35</v>
      </c>
      <c r="L81" s="3">
        <v>0</v>
      </c>
      <c r="M81" s="3">
        <v>741.7</v>
      </c>
      <c r="N81" s="3">
        <v>2336.1</v>
      </c>
      <c r="O81" s="3">
        <v>43.3</v>
      </c>
      <c r="P81" s="3">
        <v>116.8</v>
      </c>
      <c r="Q81" s="3">
        <v>109.8194</v>
      </c>
      <c r="R81" s="3">
        <v>167.70580000000001</v>
      </c>
      <c r="S81" s="3">
        <v>3.1084999999999998</v>
      </c>
      <c r="T81" s="3">
        <v>280.63369999999998</v>
      </c>
    </row>
    <row r="82" spans="1:20" x14ac:dyDescent="0.25">
      <c r="A82" s="2">
        <v>79</v>
      </c>
      <c r="B82" s="2">
        <v>2023</v>
      </c>
      <c r="C82" s="2" t="s">
        <v>39</v>
      </c>
      <c r="D82" s="2" t="s">
        <v>1501</v>
      </c>
      <c r="E82" s="2" t="s">
        <v>1569</v>
      </c>
      <c r="F82" s="2">
        <v>207.12</v>
      </c>
      <c r="G82" s="2" t="s">
        <v>1490</v>
      </c>
      <c r="H82" s="2">
        <v>58</v>
      </c>
      <c r="I82" s="2">
        <v>30</v>
      </c>
      <c r="J82" s="2">
        <v>35</v>
      </c>
      <c r="K82" s="2">
        <v>0</v>
      </c>
      <c r="L82" s="2">
        <v>0</v>
      </c>
      <c r="M82" s="2">
        <v>905.8</v>
      </c>
      <c r="N82" s="2">
        <v>591.6</v>
      </c>
      <c r="O82" s="2">
        <v>122.2</v>
      </c>
      <c r="P82" s="2">
        <v>429.3</v>
      </c>
      <c r="Q82" s="2">
        <v>108.8134</v>
      </c>
      <c r="R82" s="2">
        <v>36.759700000000002</v>
      </c>
      <c r="S82" s="2">
        <v>8.8584999999999994</v>
      </c>
      <c r="T82" s="2">
        <v>154.4316</v>
      </c>
    </row>
    <row r="83" spans="1:20" x14ac:dyDescent="0.25">
      <c r="A83" s="3">
        <v>80</v>
      </c>
      <c r="B83" s="3">
        <v>2023</v>
      </c>
      <c r="C83" s="3" t="s">
        <v>46</v>
      </c>
      <c r="D83" s="3" t="s">
        <v>1493</v>
      </c>
      <c r="E83" s="3" t="s">
        <v>1570</v>
      </c>
      <c r="F83" s="3">
        <v>39.229999999999997</v>
      </c>
      <c r="G83" s="3" t="s">
        <v>1477</v>
      </c>
      <c r="H83" s="3">
        <v>18</v>
      </c>
      <c r="I83" s="3">
        <v>19</v>
      </c>
      <c r="J83" s="3">
        <v>15</v>
      </c>
      <c r="K83" s="3">
        <v>48</v>
      </c>
      <c r="L83" s="3">
        <v>0</v>
      </c>
      <c r="M83" s="3">
        <v>690.2</v>
      </c>
      <c r="N83" s="3">
        <v>1128.3</v>
      </c>
      <c r="O83" s="3">
        <v>94.3</v>
      </c>
      <c r="P83" s="3">
        <v>436.2</v>
      </c>
      <c r="Q83" s="3">
        <v>4.8738000000000001</v>
      </c>
      <c r="R83" s="3">
        <v>8.41</v>
      </c>
      <c r="S83" s="3">
        <v>0.55489999999999995</v>
      </c>
      <c r="T83" s="3">
        <v>13.838699999999999</v>
      </c>
    </row>
    <row r="84" spans="1:20" x14ac:dyDescent="0.25">
      <c r="A84" s="2">
        <v>81</v>
      </c>
      <c r="B84" s="2">
        <v>2023</v>
      </c>
      <c r="C84" s="2" t="s">
        <v>22</v>
      </c>
      <c r="D84" s="2" t="s">
        <v>1478</v>
      </c>
      <c r="E84" s="2" t="s">
        <v>1571</v>
      </c>
      <c r="F84" s="2">
        <v>303.45999999999998</v>
      </c>
      <c r="G84" s="2" t="s">
        <v>1503</v>
      </c>
      <c r="H84" s="2">
        <v>40</v>
      </c>
      <c r="I84" s="2">
        <v>26</v>
      </c>
      <c r="J84" s="2">
        <v>13</v>
      </c>
      <c r="K84" s="2">
        <v>21</v>
      </c>
      <c r="L84" s="2">
        <v>0</v>
      </c>
      <c r="M84" s="2">
        <v>1008.1</v>
      </c>
      <c r="N84" s="2">
        <v>652.79999999999995</v>
      </c>
      <c r="O84" s="2">
        <v>141.4</v>
      </c>
      <c r="P84" s="2">
        <v>162.30000000000001</v>
      </c>
      <c r="Q84" s="2">
        <v>122.3672</v>
      </c>
      <c r="R84" s="2">
        <v>51.505699999999997</v>
      </c>
      <c r="S84" s="2">
        <v>5.5781999999999998</v>
      </c>
      <c r="T84" s="2">
        <v>179.4511</v>
      </c>
    </row>
    <row r="85" spans="1:20" x14ac:dyDescent="0.25">
      <c r="A85" s="3">
        <v>82</v>
      </c>
      <c r="B85" s="3">
        <v>2023</v>
      </c>
      <c r="C85" s="3" t="s">
        <v>32</v>
      </c>
      <c r="D85" s="3" t="s">
        <v>1478</v>
      </c>
      <c r="E85" s="3" t="s">
        <v>1572</v>
      </c>
      <c r="F85" s="3">
        <v>222.33</v>
      </c>
      <c r="G85" s="3" t="s">
        <v>1506</v>
      </c>
      <c r="H85" s="3">
        <v>29</v>
      </c>
      <c r="I85" s="3">
        <v>16</v>
      </c>
      <c r="J85" s="3">
        <v>34</v>
      </c>
      <c r="K85" s="3">
        <v>21</v>
      </c>
      <c r="L85" s="3">
        <v>0</v>
      </c>
      <c r="M85" s="3">
        <v>918.7</v>
      </c>
      <c r="N85" s="3">
        <v>2237.9</v>
      </c>
      <c r="O85" s="3">
        <v>44.2</v>
      </c>
      <c r="P85" s="3">
        <v>437.2</v>
      </c>
      <c r="Q85" s="3">
        <v>59.233800000000002</v>
      </c>
      <c r="R85" s="3">
        <v>79.608400000000003</v>
      </c>
      <c r="S85" s="3">
        <v>3.3412000000000002</v>
      </c>
      <c r="T85" s="3">
        <v>142.18340000000001</v>
      </c>
    </row>
    <row r="86" spans="1:20" x14ac:dyDescent="0.25">
      <c r="A86" s="2">
        <v>83</v>
      </c>
      <c r="B86" s="2">
        <v>2023</v>
      </c>
      <c r="C86" s="2" t="s">
        <v>39</v>
      </c>
      <c r="D86" s="2" t="s">
        <v>67</v>
      </c>
      <c r="E86" s="2" t="s">
        <v>1573</v>
      </c>
      <c r="F86" s="2">
        <v>252.22</v>
      </c>
      <c r="G86" s="2" t="s">
        <v>1506</v>
      </c>
      <c r="H86" s="2">
        <v>13</v>
      </c>
      <c r="I86" s="2">
        <v>16</v>
      </c>
      <c r="J86" s="2">
        <v>38</v>
      </c>
      <c r="K86" s="2">
        <v>33</v>
      </c>
      <c r="L86" s="2">
        <v>0</v>
      </c>
      <c r="M86" s="2">
        <v>799.2</v>
      </c>
      <c r="N86" s="2">
        <v>2401.1</v>
      </c>
      <c r="O86" s="2">
        <v>78.099999999999994</v>
      </c>
      <c r="P86" s="2">
        <v>111.4</v>
      </c>
      <c r="Q86" s="2">
        <v>26.204599999999999</v>
      </c>
      <c r="R86" s="2">
        <v>96.896900000000002</v>
      </c>
      <c r="S86" s="2">
        <v>7.4854000000000003</v>
      </c>
      <c r="T86" s="2">
        <v>130.58690000000001</v>
      </c>
    </row>
    <row r="87" spans="1:20" x14ac:dyDescent="0.25">
      <c r="A87" s="3">
        <v>84</v>
      </c>
      <c r="B87" s="3">
        <v>2023</v>
      </c>
      <c r="C87" s="3" t="s">
        <v>46</v>
      </c>
      <c r="D87" s="3" t="s">
        <v>1501</v>
      </c>
      <c r="E87" s="3" t="s">
        <v>1574</v>
      </c>
      <c r="F87" s="3">
        <v>116.04</v>
      </c>
      <c r="G87" s="3" t="s">
        <v>1487</v>
      </c>
      <c r="H87" s="3">
        <v>57</v>
      </c>
      <c r="I87" s="3">
        <v>22</v>
      </c>
      <c r="J87" s="3">
        <v>16</v>
      </c>
      <c r="K87" s="3">
        <v>5</v>
      </c>
      <c r="L87" s="3">
        <v>0</v>
      </c>
      <c r="M87" s="3">
        <v>554.29999999999995</v>
      </c>
      <c r="N87" s="3">
        <v>1949.8</v>
      </c>
      <c r="O87" s="3">
        <v>120.3</v>
      </c>
      <c r="P87" s="3">
        <v>94.3</v>
      </c>
      <c r="Q87" s="3">
        <v>36.662999999999997</v>
      </c>
      <c r="R87" s="3">
        <v>49.7761</v>
      </c>
      <c r="S87" s="3">
        <v>2.2334999999999998</v>
      </c>
      <c r="T87" s="3">
        <v>88.672600000000003</v>
      </c>
    </row>
    <row r="88" spans="1:20" x14ac:dyDescent="0.25">
      <c r="A88" s="2">
        <v>85</v>
      </c>
      <c r="B88" s="2">
        <v>2023</v>
      </c>
      <c r="C88" s="2" t="s">
        <v>22</v>
      </c>
      <c r="D88" s="2" t="s">
        <v>1475</v>
      </c>
      <c r="E88" s="2" t="s">
        <v>1575</v>
      </c>
      <c r="F88" s="2">
        <v>325.3</v>
      </c>
      <c r="G88" s="2" t="s">
        <v>1490</v>
      </c>
      <c r="H88" s="2">
        <v>39</v>
      </c>
      <c r="I88" s="2">
        <v>8</v>
      </c>
      <c r="J88" s="2">
        <v>10</v>
      </c>
      <c r="K88" s="2">
        <v>43</v>
      </c>
      <c r="L88" s="2">
        <v>0</v>
      </c>
      <c r="M88" s="2">
        <v>874.1</v>
      </c>
      <c r="N88" s="2">
        <v>567.5</v>
      </c>
      <c r="O88" s="2">
        <v>48.9</v>
      </c>
      <c r="P88" s="2">
        <v>233.7</v>
      </c>
      <c r="Q88" s="2">
        <v>110.8944</v>
      </c>
      <c r="R88" s="2">
        <v>14.768599999999999</v>
      </c>
      <c r="S88" s="2">
        <v>1.5907</v>
      </c>
      <c r="T88" s="2">
        <v>127.25369999999999</v>
      </c>
    </row>
    <row r="89" spans="1:20" x14ac:dyDescent="0.25">
      <c r="A89" s="3">
        <v>86</v>
      </c>
      <c r="B89" s="3">
        <v>2023</v>
      </c>
      <c r="C89" s="3" t="s">
        <v>32</v>
      </c>
      <c r="D89" s="3" t="s">
        <v>1491</v>
      </c>
      <c r="E89" s="3" t="s">
        <v>1576</v>
      </c>
      <c r="F89" s="3">
        <v>140.27000000000001</v>
      </c>
      <c r="G89" s="3" t="s">
        <v>1477</v>
      </c>
      <c r="H89" s="3">
        <v>49</v>
      </c>
      <c r="I89" s="3">
        <v>17</v>
      </c>
      <c r="J89" s="3">
        <v>25</v>
      </c>
      <c r="K89" s="3">
        <v>9</v>
      </c>
      <c r="L89" s="3">
        <v>0</v>
      </c>
      <c r="M89" s="3">
        <v>466</v>
      </c>
      <c r="N89" s="3">
        <v>1265.2</v>
      </c>
      <c r="O89" s="3">
        <v>72.2</v>
      </c>
      <c r="P89" s="3">
        <v>169.8</v>
      </c>
      <c r="Q89" s="3">
        <v>32.029299999999999</v>
      </c>
      <c r="R89" s="3">
        <v>30.169799999999999</v>
      </c>
      <c r="S89" s="3">
        <v>2.5318999999999998</v>
      </c>
      <c r="T89" s="3">
        <v>64.730999999999995</v>
      </c>
    </row>
    <row r="90" spans="1:20" ht="24" x14ac:dyDescent="0.25">
      <c r="A90" s="2">
        <v>87</v>
      </c>
      <c r="B90" s="2">
        <v>2023</v>
      </c>
      <c r="C90" s="2" t="s">
        <v>39</v>
      </c>
      <c r="D90" s="2" t="s">
        <v>1488</v>
      </c>
      <c r="E90" s="2" t="s">
        <v>1577</v>
      </c>
      <c r="F90" s="2">
        <v>330.3</v>
      </c>
      <c r="G90" s="2" t="s">
        <v>49</v>
      </c>
      <c r="H90" s="2">
        <v>44</v>
      </c>
      <c r="I90" s="2">
        <v>6</v>
      </c>
      <c r="J90" s="2">
        <v>31</v>
      </c>
      <c r="K90" s="2">
        <v>19</v>
      </c>
      <c r="L90" s="2">
        <v>0</v>
      </c>
      <c r="M90" s="2">
        <v>709.4</v>
      </c>
      <c r="N90" s="2">
        <v>1583.1</v>
      </c>
      <c r="O90" s="2">
        <v>58.7</v>
      </c>
      <c r="P90" s="2">
        <v>90.4</v>
      </c>
      <c r="Q90" s="2">
        <v>103.0985</v>
      </c>
      <c r="R90" s="2">
        <v>31.373899999999999</v>
      </c>
      <c r="S90" s="2">
        <v>6.0105000000000004</v>
      </c>
      <c r="T90" s="2">
        <v>140.4829</v>
      </c>
    </row>
    <row r="91" spans="1:20" x14ac:dyDescent="0.25">
      <c r="A91" s="3">
        <v>88</v>
      </c>
      <c r="B91" s="3">
        <v>2023</v>
      </c>
      <c r="C91" s="3" t="s">
        <v>46</v>
      </c>
      <c r="D91" s="3" t="s">
        <v>1491</v>
      </c>
      <c r="E91" s="3" t="s">
        <v>1578</v>
      </c>
      <c r="F91" s="3">
        <v>461.43</v>
      </c>
      <c r="G91" s="3" t="s">
        <v>696</v>
      </c>
      <c r="H91" s="3">
        <v>26</v>
      </c>
      <c r="I91" s="3">
        <v>30</v>
      </c>
      <c r="J91" s="3">
        <v>34</v>
      </c>
      <c r="K91" s="3">
        <v>10</v>
      </c>
      <c r="L91" s="3">
        <v>0</v>
      </c>
      <c r="M91" s="3">
        <v>952.3</v>
      </c>
      <c r="N91" s="3">
        <v>2014.5</v>
      </c>
      <c r="O91" s="3">
        <v>57.7</v>
      </c>
      <c r="P91" s="3">
        <v>411.7</v>
      </c>
      <c r="Q91" s="3">
        <v>114.2491</v>
      </c>
      <c r="R91" s="3">
        <v>278.86520000000002</v>
      </c>
      <c r="S91" s="3">
        <v>9.0523000000000007</v>
      </c>
      <c r="T91" s="3">
        <v>402.16660000000002</v>
      </c>
    </row>
    <row r="92" spans="1:20" x14ac:dyDescent="0.25">
      <c r="A92" s="2">
        <v>89</v>
      </c>
      <c r="B92" s="2">
        <v>2023</v>
      </c>
      <c r="C92" s="2" t="s">
        <v>22</v>
      </c>
      <c r="D92" s="2" t="s">
        <v>1493</v>
      </c>
      <c r="E92" s="2" t="s">
        <v>1579</v>
      </c>
      <c r="F92" s="2">
        <v>391.52</v>
      </c>
      <c r="G92" s="2" t="s">
        <v>1506</v>
      </c>
      <c r="H92" s="2">
        <v>57</v>
      </c>
      <c r="I92" s="2">
        <v>29</v>
      </c>
      <c r="J92" s="2">
        <v>11</v>
      </c>
      <c r="K92" s="2">
        <v>3</v>
      </c>
      <c r="L92" s="2">
        <v>0</v>
      </c>
      <c r="M92" s="2">
        <v>1136.3</v>
      </c>
      <c r="N92" s="2">
        <v>1606.6</v>
      </c>
      <c r="O92" s="2">
        <v>143.30000000000001</v>
      </c>
      <c r="P92" s="2">
        <v>453</v>
      </c>
      <c r="Q92" s="2">
        <v>253.584</v>
      </c>
      <c r="R92" s="2">
        <v>182.41460000000001</v>
      </c>
      <c r="S92" s="2">
        <v>6.1715</v>
      </c>
      <c r="T92" s="2">
        <v>442.17009999999999</v>
      </c>
    </row>
    <row r="93" spans="1:20" x14ac:dyDescent="0.25">
      <c r="A93" s="3">
        <v>90</v>
      </c>
      <c r="B93" s="3">
        <v>2023</v>
      </c>
      <c r="C93" s="3" t="s">
        <v>32</v>
      </c>
      <c r="D93" s="3" t="s">
        <v>1501</v>
      </c>
      <c r="E93" s="3" t="s">
        <v>1580</v>
      </c>
      <c r="F93" s="3">
        <v>232.29</v>
      </c>
      <c r="G93" s="3" t="s">
        <v>1477</v>
      </c>
      <c r="H93" s="3">
        <v>46</v>
      </c>
      <c r="I93" s="3">
        <v>28</v>
      </c>
      <c r="J93" s="3">
        <v>28</v>
      </c>
      <c r="K93" s="3">
        <v>0</v>
      </c>
      <c r="L93" s="3">
        <v>0</v>
      </c>
      <c r="M93" s="3">
        <v>1103.7</v>
      </c>
      <c r="N93" s="3">
        <v>1020.2</v>
      </c>
      <c r="O93" s="3">
        <v>144.4</v>
      </c>
      <c r="P93" s="3">
        <v>266.89999999999998</v>
      </c>
      <c r="Q93" s="3">
        <v>117.9341</v>
      </c>
      <c r="R93" s="3">
        <v>66.355000000000004</v>
      </c>
      <c r="S93" s="3">
        <v>9.3918999999999997</v>
      </c>
      <c r="T93" s="3">
        <v>193.68100000000001</v>
      </c>
    </row>
    <row r="94" spans="1:20" x14ac:dyDescent="0.25">
      <c r="A94" s="2">
        <v>91</v>
      </c>
      <c r="B94" s="2">
        <v>2023</v>
      </c>
      <c r="C94" s="2" t="s">
        <v>39</v>
      </c>
      <c r="D94" s="2" t="s">
        <v>1478</v>
      </c>
      <c r="E94" s="2" t="s">
        <v>1581</v>
      </c>
      <c r="F94" s="2">
        <v>453.95</v>
      </c>
      <c r="G94" s="2" t="s">
        <v>1484</v>
      </c>
      <c r="H94" s="2">
        <v>27</v>
      </c>
      <c r="I94" s="2">
        <v>30</v>
      </c>
      <c r="J94" s="2">
        <v>31</v>
      </c>
      <c r="K94" s="2">
        <v>12</v>
      </c>
      <c r="L94" s="2">
        <v>0</v>
      </c>
      <c r="M94" s="2">
        <v>1258.3</v>
      </c>
      <c r="N94" s="2">
        <v>671.1</v>
      </c>
      <c r="O94" s="2">
        <v>45</v>
      </c>
      <c r="P94" s="2">
        <v>297.10000000000002</v>
      </c>
      <c r="Q94" s="2">
        <v>154.22540000000001</v>
      </c>
      <c r="R94" s="2">
        <v>91.393799999999999</v>
      </c>
      <c r="S94" s="2">
        <v>6.3326000000000002</v>
      </c>
      <c r="T94" s="2">
        <v>251.95179999999999</v>
      </c>
    </row>
    <row r="95" spans="1:20" x14ac:dyDescent="0.25">
      <c r="A95" s="3">
        <v>92</v>
      </c>
      <c r="B95" s="3">
        <v>2023</v>
      </c>
      <c r="C95" s="3" t="s">
        <v>46</v>
      </c>
      <c r="D95" s="3" t="s">
        <v>1544</v>
      </c>
      <c r="E95" s="3" t="s">
        <v>1582</v>
      </c>
      <c r="F95" s="3">
        <v>197.91</v>
      </c>
      <c r="G95" s="3" t="s">
        <v>1480</v>
      </c>
      <c r="H95" s="3">
        <v>49</v>
      </c>
      <c r="I95" s="3">
        <v>13</v>
      </c>
      <c r="J95" s="3">
        <v>21</v>
      </c>
      <c r="K95" s="3">
        <v>17</v>
      </c>
      <c r="L95" s="3">
        <v>0</v>
      </c>
      <c r="M95" s="3">
        <v>678.4</v>
      </c>
      <c r="N95" s="3">
        <v>1001</v>
      </c>
      <c r="O95" s="3">
        <v>101.4</v>
      </c>
      <c r="P95" s="3">
        <v>388.6</v>
      </c>
      <c r="Q95" s="3">
        <v>65.788499999999999</v>
      </c>
      <c r="R95" s="3">
        <v>25.754000000000001</v>
      </c>
      <c r="S95" s="3">
        <v>4.2142999999999997</v>
      </c>
      <c r="T95" s="3">
        <v>95.756799999999998</v>
      </c>
    </row>
    <row r="96" spans="1:20" x14ac:dyDescent="0.25">
      <c r="A96" s="2">
        <v>93</v>
      </c>
      <c r="B96" s="2">
        <v>2023</v>
      </c>
      <c r="C96" s="2" t="s">
        <v>22</v>
      </c>
      <c r="D96" s="2" t="s">
        <v>1485</v>
      </c>
      <c r="E96" s="2" t="s">
        <v>1583</v>
      </c>
      <c r="F96" s="2">
        <v>154.13999999999999</v>
      </c>
      <c r="G96" s="2" t="s">
        <v>1490</v>
      </c>
      <c r="H96" s="2">
        <v>52</v>
      </c>
      <c r="I96" s="2">
        <v>15</v>
      </c>
      <c r="J96" s="2">
        <v>36</v>
      </c>
      <c r="K96" s="2">
        <v>0</v>
      </c>
      <c r="L96" s="2">
        <v>0</v>
      </c>
      <c r="M96" s="2">
        <v>674.8</v>
      </c>
      <c r="N96" s="2">
        <v>857.6</v>
      </c>
      <c r="O96" s="2">
        <v>74.8</v>
      </c>
      <c r="P96" s="2">
        <v>256</v>
      </c>
      <c r="Q96" s="2">
        <v>54.0871</v>
      </c>
      <c r="R96" s="2">
        <v>19.828600000000002</v>
      </c>
      <c r="S96" s="2">
        <v>4.1506999999999996</v>
      </c>
      <c r="T96" s="2">
        <v>78.066400000000002</v>
      </c>
    </row>
    <row r="97" spans="1:20" x14ac:dyDescent="0.25">
      <c r="A97" s="3">
        <v>94</v>
      </c>
      <c r="B97" s="3">
        <v>2023</v>
      </c>
      <c r="C97" s="3" t="s">
        <v>32</v>
      </c>
      <c r="D97" s="3" t="s">
        <v>1488</v>
      </c>
      <c r="E97" s="3" t="s">
        <v>1584</v>
      </c>
      <c r="F97" s="3">
        <v>482.98</v>
      </c>
      <c r="G97" s="3" t="s">
        <v>1506</v>
      </c>
      <c r="H97" s="3">
        <v>40</v>
      </c>
      <c r="I97" s="3">
        <v>25</v>
      </c>
      <c r="J97" s="3">
        <v>37</v>
      </c>
      <c r="K97" s="3">
        <v>0</v>
      </c>
      <c r="L97" s="3">
        <v>0</v>
      </c>
      <c r="M97" s="3">
        <v>923.1</v>
      </c>
      <c r="N97" s="3">
        <v>1317.2</v>
      </c>
      <c r="O97" s="3">
        <v>91.1</v>
      </c>
      <c r="P97" s="3">
        <v>111.8</v>
      </c>
      <c r="Q97" s="3">
        <v>178.3355</v>
      </c>
      <c r="R97" s="3">
        <v>159.0453</v>
      </c>
      <c r="S97" s="3">
        <v>16.279800000000002</v>
      </c>
      <c r="T97" s="3">
        <v>353.66059999999999</v>
      </c>
    </row>
    <row r="98" spans="1:20" x14ac:dyDescent="0.25">
      <c r="A98" s="2">
        <v>95</v>
      </c>
      <c r="B98" s="2">
        <v>2023</v>
      </c>
      <c r="C98" s="2" t="s">
        <v>39</v>
      </c>
      <c r="D98" s="2" t="s">
        <v>1501</v>
      </c>
      <c r="E98" s="2" t="s">
        <v>1585</v>
      </c>
      <c r="F98" s="2">
        <v>157.69999999999999</v>
      </c>
      <c r="G98" s="2" t="s">
        <v>1477</v>
      </c>
      <c r="H98" s="2">
        <v>14</v>
      </c>
      <c r="I98" s="2">
        <v>19</v>
      </c>
      <c r="J98" s="2">
        <v>15</v>
      </c>
      <c r="K98" s="2">
        <v>52</v>
      </c>
      <c r="L98" s="2">
        <v>0</v>
      </c>
      <c r="M98" s="2">
        <v>669.3</v>
      </c>
      <c r="N98" s="2">
        <v>2073.5</v>
      </c>
      <c r="O98" s="2">
        <v>46.3</v>
      </c>
      <c r="P98" s="2">
        <v>278</v>
      </c>
      <c r="Q98" s="2">
        <v>14.7768</v>
      </c>
      <c r="R98" s="2">
        <v>62.128300000000003</v>
      </c>
      <c r="S98" s="2">
        <v>1.0952</v>
      </c>
      <c r="T98" s="2">
        <v>78.000299999999996</v>
      </c>
    </row>
    <row r="99" spans="1:20" x14ac:dyDescent="0.25">
      <c r="A99" s="3">
        <v>96</v>
      </c>
      <c r="B99" s="3">
        <v>2023</v>
      </c>
      <c r="C99" s="3" t="s">
        <v>46</v>
      </c>
      <c r="D99" s="3" t="s">
        <v>1485</v>
      </c>
      <c r="E99" s="3" t="s">
        <v>1586</v>
      </c>
      <c r="F99" s="3">
        <v>74.3</v>
      </c>
      <c r="G99" s="3" t="s">
        <v>1484</v>
      </c>
      <c r="H99" s="3">
        <v>49</v>
      </c>
      <c r="I99" s="3">
        <v>25</v>
      </c>
      <c r="J99" s="3">
        <v>11</v>
      </c>
      <c r="K99" s="3">
        <v>15</v>
      </c>
      <c r="L99" s="3">
        <v>0</v>
      </c>
      <c r="M99" s="3">
        <v>647.79999999999995</v>
      </c>
      <c r="N99" s="3">
        <v>1809.2</v>
      </c>
      <c r="O99" s="3">
        <v>35.799999999999997</v>
      </c>
      <c r="P99" s="3">
        <v>282.7</v>
      </c>
      <c r="Q99" s="3">
        <v>23.584499999999998</v>
      </c>
      <c r="R99" s="3">
        <v>33.605899999999998</v>
      </c>
      <c r="S99" s="3">
        <v>0.29260000000000003</v>
      </c>
      <c r="T99" s="3">
        <v>57.482999999999997</v>
      </c>
    </row>
    <row r="100" spans="1:20" x14ac:dyDescent="0.25">
      <c r="A100" s="2">
        <v>97</v>
      </c>
      <c r="B100" s="2">
        <v>2023</v>
      </c>
      <c r="C100" s="2" t="s">
        <v>22</v>
      </c>
      <c r="D100" s="2" t="s">
        <v>1478</v>
      </c>
      <c r="E100" s="2" t="s">
        <v>1587</v>
      </c>
      <c r="F100" s="2">
        <v>159.35</v>
      </c>
      <c r="G100" s="2" t="s">
        <v>1506</v>
      </c>
      <c r="H100" s="2">
        <v>45</v>
      </c>
      <c r="I100" s="2">
        <v>27</v>
      </c>
      <c r="J100" s="2">
        <v>17</v>
      </c>
      <c r="K100" s="2">
        <v>11</v>
      </c>
      <c r="L100" s="2">
        <v>0</v>
      </c>
      <c r="M100" s="2">
        <v>501.7</v>
      </c>
      <c r="N100" s="2">
        <v>1929.1</v>
      </c>
      <c r="O100" s="2">
        <v>46.3</v>
      </c>
      <c r="P100" s="2">
        <v>183</v>
      </c>
      <c r="Q100" s="2">
        <v>35.975700000000003</v>
      </c>
      <c r="R100" s="2">
        <v>82.998599999999996</v>
      </c>
      <c r="S100" s="2">
        <v>1.2542</v>
      </c>
      <c r="T100" s="2">
        <v>120.2285</v>
      </c>
    </row>
    <row r="101" spans="1:20" ht="24" x14ac:dyDescent="0.25">
      <c r="A101" s="3">
        <v>98</v>
      </c>
      <c r="B101" s="3">
        <v>2023</v>
      </c>
      <c r="C101" s="3" t="s">
        <v>32</v>
      </c>
      <c r="D101" s="3" t="s">
        <v>1501</v>
      </c>
      <c r="E101" s="3" t="s">
        <v>1588</v>
      </c>
      <c r="F101" s="3">
        <v>359.44</v>
      </c>
      <c r="G101" s="3" t="s">
        <v>49</v>
      </c>
      <c r="H101" s="3">
        <v>48</v>
      </c>
      <c r="I101" s="3">
        <v>12</v>
      </c>
      <c r="J101" s="3">
        <v>21</v>
      </c>
      <c r="K101" s="3">
        <v>19</v>
      </c>
      <c r="L101" s="3">
        <v>0</v>
      </c>
      <c r="M101" s="3">
        <v>542.79999999999995</v>
      </c>
      <c r="N101" s="3">
        <v>1513.9</v>
      </c>
      <c r="O101" s="3">
        <v>25.8</v>
      </c>
      <c r="P101" s="3">
        <v>111</v>
      </c>
      <c r="Q101" s="3">
        <v>93.649900000000002</v>
      </c>
      <c r="R101" s="3">
        <v>65.298699999999997</v>
      </c>
      <c r="S101" s="3">
        <v>1.9474</v>
      </c>
      <c r="T101" s="3">
        <v>160.89599999999999</v>
      </c>
    </row>
    <row r="102" spans="1:20" ht="24" x14ac:dyDescent="0.25">
      <c r="A102" s="2">
        <v>99</v>
      </c>
      <c r="B102" s="2">
        <v>2023</v>
      </c>
      <c r="C102" s="2" t="s">
        <v>39</v>
      </c>
      <c r="D102" s="2" t="s">
        <v>1478</v>
      </c>
      <c r="E102" s="2" t="s">
        <v>1589</v>
      </c>
      <c r="F102" s="2">
        <v>285.61</v>
      </c>
      <c r="G102" s="2" t="s">
        <v>49</v>
      </c>
      <c r="H102" s="2">
        <v>53</v>
      </c>
      <c r="I102" s="2">
        <v>18</v>
      </c>
      <c r="J102" s="2">
        <v>12</v>
      </c>
      <c r="K102" s="2">
        <v>17</v>
      </c>
      <c r="L102" s="2">
        <v>0</v>
      </c>
      <c r="M102" s="2">
        <v>995.6</v>
      </c>
      <c r="N102" s="2">
        <v>2251.6999999999998</v>
      </c>
      <c r="O102" s="2">
        <v>30</v>
      </c>
      <c r="P102" s="2">
        <v>210.6</v>
      </c>
      <c r="Q102" s="2">
        <v>150.7073</v>
      </c>
      <c r="R102" s="2">
        <v>115.7594</v>
      </c>
      <c r="S102" s="2">
        <v>1.0282</v>
      </c>
      <c r="T102" s="2">
        <v>267.49489999999997</v>
      </c>
    </row>
    <row r="103" spans="1:20" x14ac:dyDescent="0.25">
      <c r="A103" s="3">
        <v>100</v>
      </c>
      <c r="B103" s="3">
        <v>2023</v>
      </c>
      <c r="C103" s="3" t="s">
        <v>46</v>
      </c>
      <c r="D103" s="3" t="s">
        <v>1493</v>
      </c>
      <c r="E103" s="3" t="s">
        <v>1590</v>
      </c>
      <c r="F103" s="3">
        <v>487.57</v>
      </c>
      <c r="G103" s="3" t="s">
        <v>1477</v>
      </c>
      <c r="H103" s="3">
        <v>51</v>
      </c>
      <c r="I103" s="3">
        <v>16</v>
      </c>
      <c r="J103" s="3">
        <v>25</v>
      </c>
      <c r="K103" s="3">
        <v>8</v>
      </c>
      <c r="L103" s="3">
        <v>0</v>
      </c>
      <c r="M103" s="3">
        <v>1251.0999999999999</v>
      </c>
      <c r="N103" s="3">
        <v>1088.0999999999999</v>
      </c>
      <c r="O103" s="3">
        <v>14.4</v>
      </c>
      <c r="P103" s="3">
        <v>227.3</v>
      </c>
      <c r="Q103" s="3">
        <v>311.0994</v>
      </c>
      <c r="R103" s="3">
        <v>84.884</v>
      </c>
      <c r="S103" s="3">
        <v>1.7553000000000001</v>
      </c>
      <c r="T103" s="3">
        <v>397.73869999999999</v>
      </c>
    </row>
  </sheetData>
  <autoFilter ref="A3:T3" xr:uid="{00000000-0009-0000-0000-00000B000000}"/>
  <mergeCells count="2">
    <mergeCell ref="A1:P1"/>
    <mergeCell ref="A2:P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72C4"/>
  </sheetPr>
  <dimension ref="A1:T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1591</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25.5" x14ac:dyDescent="0.25">
      <c r="A3" s="1" t="s">
        <v>2</v>
      </c>
      <c r="B3" s="1" t="s">
        <v>3</v>
      </c>
      <c r="C3" s="1" t="s">
        <v>4</v>
      </c>
      <c r="D3" s="1" t="s">
        <v>1002</v>
      </c>
      <c r="E3" s="1" t="s">
        <v>1003</v>
      </c>
      <c r="F3" s="1" t="s">
        <v>1592</v>
      </c>
      <c r="G3" s="1" t="s">
        <v>1593</v>
      </c>
      <c r="H3" s="1" t="s">
        <v>490</v>
      </c>
      <c r="I3" s="1" t="s">
        <v>1594</v>
      </c>
      <c r="J3" s="1" t="s">
        <v>1595</v>
      </c>
      <c r="K3" s="1" t="s">
        <v>12</v>
      </c>
      <c r="L3" s="1" t="s">
        <v>1008</v>
      </c>
      <c r="M3" s="1" t="s">
        <v>1009</v>
      </c>
      <c r="N3" s="1" t="s">
        <v>496</v>
      </c>
      <c r="O3" s="1" t="s">
        <v>1011</v>
      </c>
      <c r="P3" s="1" t="s">
        <v>1596</v>
      </c>
      <c r="Q3" s="1" t="s">
        <v>1013</v>
      </c>
      <c r="R3" s="1" t="s">
        <v>1014</v>
      </c>
      <c r="S3" s="1" t="s">
        <v>1597</v>
      </c>
      <c r="T3" s="1" t="s">
        <v>500</v>
      </c>
    </row>
    <row r="4" spans="1:20" ht="24" x14ac:dyDescent="0.25">
      <c r="A4" s="2">
        <v>1</v>
      </c>
      <c r="B4" s="2">
        <v>2023</v>
      </c>
      <c r="C4" s="2" t="s">
        <v>22</v>
      </c>
      <c r="D4" s="2" t="s">
        <v>1598</v>
      </c>
      <c r="E4" s="2" t="s">
        <v>1017</v>
      </c>
      <c r="F4" s="2" t="s">
        <v>1599</v>
      </c>
      <c r="G4" s="2" t="s">
        <v>909</v>
      </c>
      <c r="H4" s="2" t="s">
        <v>65</v>
      </c>
      <c r="I4" s="2">
        <v>13</v>
      </c>
      <c r="J4" s="2">
        <v>352.8</v>
      </c>
      <c r="K4" s="2" t="s">
        <v>1021</v>
      </c>
      <c r="L4" s="2">
        <v>610993</v>
      </c>
      <c r="M4" s="2">
        <v>404.02</v>
      </c>
      <c r="N4" s="2">
        <v>0.60540000000000005</v>
      </c>
      <c r="O4" s="2">
        <v>73.430000000000007</v>
      </c>
      <c r="P4" s="2">
        <v>369.89519999999999</v>
      </c>
      <c r="Q4" s="2">
        <v>29.667200000000001</v>
      </c>
      <c r="R4" s="2">
        <v>399.56240000000003</v>
      </c>
      <c r="S4" s="2">
        <v>2565502</v>
      </c>
      <c r="T4" s="2" t="s">
        <v>1600</v>
      </c>
    </row>
    <row r="5" spans="1:20" ht="24" x14ac:dyDescent="0.25">
      <c r="A5" s="3">
        <v>2</v>
      </c>
      <c r="B5" s="3">
        <v>2023</v>
      </c>
      <c r="C5" s="3" t="s">
        <v>32</v>
      </c>
      <c r="D5" s="3" t="s">
        <v>1601</v>
      </c>
      <c r="E5" s="3" t="s">
        <v>1602</v>
      </c>
      <c r="F5" s="3" t="s">
        <v>1603</v>
      </c>
      <c r="G5" s="3" t="s">
        <v>1161</v>
      </c>
      <c r="H5" s="3" t="s">
        <v>139</v>
      </c>
      <c r="I5" s="3">
        <v>19</v>
      </c>
      <c r="J5" s="3">
        <v>6604.9</v>
      </c>
      <c r="K5" s="3" t="s">
        <v>1021</v>
      </c>
      <c r="L5" s="3">
        <v>154324.29999999999</v>
      </c>
      <c r="M5" s="3">
        <v>381.31</v>
      </c>
      <c r="N5" s="3">
        <v>0.67459999999999998</v>
      </c>
      <c r="O5" s="3">
        <v>78.66</v>
      </c>
      <c r="P5" s="3">
        <v>104.10720000000001</v>
      </c>
      <c r="Q5" s="3">
        <v>29.9938</v>
      </c>
      <c r="R5" s="3">
        <v>134.101</v>
      </c>
      <c r="S5" s="3">
        <v>4795195</v>
      </c>
      <c r="T5" s="3" t="s">
        <v>1600</v>
      </c>
    </row>
    <row r="6" spans="1:20" x14ac:dyDescent="0.25">
      <c r="A6" s="2">
        <v>3</v>
      </c>
      <c r="B6" s="2">
        <v>2023</v>
      </c>
      <c r="C6" s="2" t="s">
        <v>39</v>
      </c>
      <c r="D6" s="2" t="s">
        <v>1604</v>
      </c>
      <c r="E6" s="2" t="s">
        <v>1605</v>
      </c>
      <c r="F6" s="2" t="s">
        <v>1606</v>
      </c>
      <c r="G6" s="2" t="s">
        <v>1607</v>
      </c>
      <c r="H6" s="2" t="s">
        <v>204</v>
      </c>
      <c r="I6" s="2">
        <v>11</v>
      </c>
      <c r="J6" s="2">
        <v>7366.1</v>
      </c>
      <c r="K6" s="2" t="s">
        <v>1021</v>
      </c>
      <c r="L6" s="2">
        <v>541272.5</v>
      </c>
      <c r="M6" s="2">
        <v>60.62</v>
      </c>
      <c r="N6" s="2">
        <v>0.78920000000000001</v>
      </c>
      <c r="O6" s="2">
        <v>73.95</v>
      </c>
      <c r="P6" s="2">
        <v>427.17230000000001</v>
      </c>
      <c r="Q6" s="2">
        <v>4.4828000000000001</v>
      </c>
      <c r="R6" s="2">
        <v>431.6551</v>
      </c>
      <c r="S6" s="2">
        <v>3055155</v>
      </c>
      <c r="T6" s="2" t="s">
        <v>1608</v>
      </c>
    </row>
    <row r="7" spans="1:20" ht="24" x14ac:dyDescent="0.25">
      <c r="A7" s="3">
        <v>4</v>
      </c>
      <c r="B7" s="3">
        <v>2023</v>
      </c>
      <c r="C7" s="3" t="s">
        <v>46</v>
      </c>
      <c r="D7" s="3" t="s">
        <v>1609</v>
      </c>
      <c r="E7" s="3" t="s">
        <v>1610</v>
      </c>
      <c r="F7" s="3" t="s">
        <v>1611</v>
      </c>
      <c r="G7" s="3" t="s">
        <v>909</v>
      </c>
      <c r="H7" s="3" t="s">
        <v>96</v>
      </c>
      <c r="I7" s="3">
        <v>4</v>
      </c>
      <c r="J7" s="3">
        <v>8376.5</v>
      </c>
      <c r="K7" s="3" t="s">
        <v>1021</v>
      </c>
      <c r="L7" s="3">
        <v>296600</v>
      </c>
      <c r="M7" s="3">
        <v>122.01</v>
      </c>
      <c r="N7" s="3">
        <v>0.47149999999999997</v>
      </c>
      <c r="O7" s="3">
        <v>73.03</v>
      </c>
      <c r="P7" s="3">
        <v>139.84690000000001</v>
      </c>
      <c r="Q7" s="3">
        <v>8.9103999999999992</v>
      </c>
      <c r="R7" s="3">
        <v>148.75729999999999</v>
      </c>
      <c r="S7" s="3">
        <v>1841727</v>
      </c>
      <c r="T7" s="3" t="s">
        <v>1600</v>
      </c>
    </row>
    <row r="8" spans="1:20" x14ac:dyDescent="0.25">
      <c r="A8" s="2">
        <v>5</v>
      </c>
      <c r="B8" s="2">
        <v>2023</v>
      </c>
      <c r="C8" s="2" t="s">
        <v>22</v>
      </c>
      <c r="D8" s="2" t="s">
        <v>1612</v>
      </c>
      <c r="E8" s="2" t="s">
        <v>1610</v>
      </c>
      <c r="F8" s="2" t="s">
        <v>1613</v>
      </c>
      <c r="G8" s="2" t="s">
        <v>1614</v>
      </c>
      <c r="H8" s="2" t="s">
        <v>58</v>
      </c>
      <c r="I8" s="2">
        <v>8</v>
      </c>
      <c r="J8" s="2">
        <v>4505.6000000000004</v>
      </c>
      <c r="K8" s="2" t="s">
        <v>1021</v>
      </c>
      <c r="L8" s="2">
        <v>957820.5</v>
      </c>
      <c r="M8" s="2">
        <v>204.96</v>
      </c>
      <c r="N8" s="2">
        <v>0.38979999999999998</v>
      </c>
      <c r="O8" s="2">
        <v>66.81</v>
      </c>
      <c r="P8" s="2">
        <v>373.35840000000002</v>
      </c>
      <c r="Q8" s="2">
        <v>13.6934</v>
      </c>
      <c r="R8" s="2">
        <v>387.05180000000001</v>
      </c>
      <c r="S8" s="2">
        <v>428397</v>
      </c>
      <c r="T8" s="2" t="s">
        <v>1608</v>
      </c>
    </row>
    <row r="9" spans="1:20" x14ac:dyDescent="0.25">
      <c r="A9" s="3">
        <v>6</v>
      </c>
      <c r="B9" s="3">
        <v>2023</v>
      </c>
      <c r="C9" s="3" t="s">
        <v>32</v>
      </c>
      <c r="D9" s="3" t="s">
        <v>1615</v>
      </c>
      <c r="E9" s="3" t="s">
        <v>1616</v>
      </c>
      <c r="F9" s="3" t="s">
        <v>1599</v>
      </c>
      <c r="G9" s="3" t="s">
        <v>1617</v>
      </c>
      <c r="H9" s="3" t="s">
        <v>58</v>
      </c>
      <c r="I9" s="3">
        <v>9</v>
      </c>
      <c r="J9" s="3">
        <v>2374.6999999999998</v>
      </c>
      <c r="K9" s="3" t="s">
        <v>1055</v>
      </c>
      <c r="L9" s="3">
        <v>828682</v>
      </c>
      <c r="M9" s="3">
        <v>493.37</v>
      </c>
      <c r="N9" s="3">
        <v>0.81289999999999996</v>
      </c>
      <c r="O9" s="3">
        <v>57.35</v>
      </c>
      <c r="P9" s="3">
        <v>673.63559999999995</v>
      </c>
      <c r="Q9" s="3">
        <v>28.294799999999999</v>
      </c>
      <c r="R9" s="3">
        <v>701.93039999999996</v>
      </c>
      <c r="S9" s="3">
        <v>4550865</v>
      </c>
      <c r="T9" s="3" t="s">
        <v>1608</v>
      </c>
    </row>
    <row r="10" spans="1:20" x14ac:dyDescent="0.25">
      <c r="A10" s="2">
        <v>7</v>
      </c>
      <c r="B10" s="2">
        <v>2023</v>
      </c>
      <c r="C10" s="2" t="s">
        <v>39</v>
      </c>
      <c r="D10" s="2" t="s">
        <v>1618</v>
      </c>
      <c r="E10" s="2" t="s">
        <v>1619</v>
      </c>
      <c r="F10" s="2" t="s">
        <v>1620</v>
      </c>
      <c r="G10" s="2" t="s">
        <v>1617</v>
      </c>
      <c r="H10" s="2" t="s">
        <v>70</v>
      </c>
      <c r="I10" s="2">
        <v>15</v>
      </c>
      <c r="J10" s="2">
        <v>3207.1</v>
      </c>
      <c r="K10" s="2" t="s">
        <v>1021</v>
      </c>
      <c r="L10" s="2">
        <v>86098.4</v>
      </c>
      <c r="M10" s="2">
        <v>210.51</v>
      </c>
      <c r="N10" s="2">
        <v>0.84160000000000001</v>
      </c>
      <c r="O10" s="2">
        <v>67.28</v>
      </c>
      <c r="P10" s="2">
        <v>72.460400000000007</v>
      </c>
      <c r="Q10" s="2">
        <v>14.1631</v>
      </c>
      <c r="R10" s="2">
        <v>86.623500000000007</v>
      </c>
      <c r="S10" s="2">
        <v>3181517</v>
      </c>
      <c r="T10" s="2" t="s">
        <v>1621</v>
      </c>
    </row>
    <row r="11" spans="1:20" ht="24" x14ac:dyDescent="0.25">
      <c r="A11" s="3">
        <v>8</v>
      </c>
      <c r="B11" s="3">
        <v>2023</v>
      </c>
      <c r="C11" s="3" t="s">
        <v>46</v>
      </c>
      <c r="D11" s="3" t="s">
        <v>1622</v>
      </c>
      <c r="E11" s="3" t="s">
        <v>1623</v>
      </c>
      <c r="F11" s="3" t="s">
        <v>1624</v>
      </c>
      <c r="G11" s="3" t="s">
        <v>1625</v>
      </c>
      <c r="H11" s="3" t="s">
        <v>120</v>
      </c>
      <c r="I11" s="3">
        <v>23</v>
      </c>
      <c r="J11" s="3">
        <v>1295.8</v>
      </c>
      <c r="K11" s="3" t="s">
        <v>1021</v>
      </c>
      <c r="L11" s="3">
        <v>267059.20000000001</v>
      </c>
      <c r="M11" s="3">
        <v>277.29000000000002</v>
      </c>
      <c r="N11" s="3">
        <v>0.81510000000000005</v>
      </c>
      <c r="O11" s="3">
        <v>72.290000000000006</v>
      </c>
      <c r="P11" s="3">
        <v>217.68</v>
      </c>
      <c r="Q11" s="3">
        <v>20.045300000000001</v>
      </c>
      <c r="R11" s="3">
        <v>237.7253</v>
      </c>
      <c r="S11" s="3">
        <v>675670</v>
      </c>
      <c r="T11" s="3" t="s">
        <v>1621</v>
      </c>
    </row>
    <row r="12" spans="1:20" x14ac:dyDescent="0.25">
      <c r="A12" s="2">
        <v>9</v>
      </c>
      <c r="B12" s="2">
        <v>2023</v>
      </c>
      <c r="C12" s="2" t="s">
        <v>22</v>
      </c>
      <c r="D12" s="2" t="s">
        <v>1626</v>
      </c>
      <c r="E12" s="2" t="s">
        <v>1627</v>
      </c>
      <c r="F12" s="2" t="s">
        <v>1628</v>
      </c>
      <c r="G12" s="2" t="s">
        <v>1629</v>
      </c>
      <c r="H12" s="2" t="s">
        <v>96</v>
      </c>
      <c r="I12" s="2">
        <v>10</v>
      </c>
      <c r="J12" s="2">
        <v>1410.5</v>
      </c>
      <c r="K12" s="2" t="s">
        <v>1021</v>
      </c>
      <c r="L12" s="2">
        <v>867545.59999999998</v>
      </c>
      <c r="M12" s="2">
        <v>459.31</v>
      </c>
      <c r="N12" s="2">
        <v>0.80210000000000004</v>
      </c>
      <c r="O12" s="2">
        <v>60.63</v>
      </c>
      <c r="P12" s="2">
        <v>695.85829999999999</v>
      </c>
      <c r="Q12" s="2">
        <v>27.847999999999999</v>
      </c>
      <c r="R12" s="2">
        <v>723.70630000000006</v>
      </c>
      <c r="S12" s="2">
        <v>2041472</v>
      </c>
      <c r="T12" s="2" t="s">
        <v>1621</v>
      </c>
    </row>
    <row r="13" spans="1:20" ht="24" x14ac:dyDescent="0.25">
      <c r="A13" s="3">
        <v>10</v>
      </c>
      <c r="B13" s="3">
        <v>2023</v>
      </c>
      <c r="C13" s="3" t="s">
        <v>32</v>
      </c>
      <c r="D13" s="3" t="s">
        <v>1630</v>
      </c>
      <c r="E13" s="3" t="s">
        <v>1619</v>
      </c>
      <c r="F13" s="3" t="s">
        <v>1613</v>
      </c>
      <c r="G13" s="3" t="s">
        <v>1614</v>
      </c>
      <c r="H13" s="3" t="s">
        <v>70</v>
      </c>
      <c r="I13" s="3">
        <v>14</v>
      </c>
      <c r="J13" s="3">
        <v>8984.5</v>
      </c>
      <c r="K13" s="3" t="s">
        <v>1021</v>
      </c>
      <c r="L13" s="3">
        <v>898862.1</v>
      </c>
      <c r="M13" s="3">
        <v>295.74</v>
      </c>
      <c r="N13" s="3">
        <v>0.6583</v>
      </c>
      <c r="O13" s="3">
        <v>79.819999999999993</v>
      </c>
      <c r="P13" s="3">
        <v>591.72090000000003</v>
      </c>
      <c r="Q13" s="3">
        <v>23.606000000000002</v>
      </c>
      <c r="R13" s="3">
        <v>615.32690000000002</v>
      </c>
      <c r="S13" s="3">
        <v>273927</v>
      </c>
      <c r="T13" s="3" t="s">
        <v>1600</v>
      </c>
    </row>
    <row r="14" spans="1:20" x14ac:dyDescent="0.25">
      <c r="A14" s="2">
        <v>11</v>
      </c>
      <c r="B14" s="2">
        <v>2023</v>
      </c>
      <c r="C14" s="2" t="s">
        <v>39</v>
      </c>
      <c r="D14" s="2" t="s">
        <v>1631</v>
      </c>
      <c r="E14" s="2" t="s">
        <v>1632</v>
      </c>
      <c r="F14" s="2" t="s">
        <v>1599</v>
      </c>
      <c r="G14" s="2" t="s">
        <v>1607</v>
      </c>
      <c r="H14" s="2" t="s">
        <v>24</v>
      </c>
      <c r="I14" s="2">
        <v>5</v>
      </c>
      <c r="J14" s="2">
        <v>7432.9</v>
      </c>
      <c r="K14" s="2" t="s">
        <v>1021</v>
      </c>
      <c r="L14" s="2">
        <v>438511.7</v>
      </c>
      <c r="M14" s="2">
        <v>378.83</v>
      </c>
      <c r="N14" s="2">
        <v>0.70009999999999994</v>
      </c>
      <c r="O14" s="2">
        <v>72</v>
      </c>
      <c r="P14" s="2">
        <v>307.00200000000001</v>
      </c>
      <c r="Q14" s="2">
        <v>27.2758</v>
      </c>
      <c r="R14" s="2">
        <v>334.27780000000001</v>
      </c>
      <c r="S14" s="2">
        <v>3632352</v>
      </c>
      <c r="T14" s="2" t="s">
        <v>1621</v>
      </c>
    </row>
    <row r="15" spans="1:20" x14ac:dyDescent="0.25">
      <c r="A15" s="3">
        <v>12</v>
      </c>
      <c r="B15" s="3">
        <v>2023</v>
      </c>
      <c r="C15" s="3" t="s">
        <v>46</v>
      </c>
      <c r="D15" s="3" t="s">
        <v>1633</v>
      </c>
      <c r="E15" s="3" t="s">
        <v>1017</v>
      </c>
      <c r="F15" s="3" t="s">
        <v>1634</v>
      </c>
      <c r="G15" s="3" t="s">
        <v>1635</v>
      </c>
      <c r="H15" s="3" t="s">
        <v>65</v>
      </c>
      <c r="I15" s="3">
        <v>10</v>
      </c>
      <c r="J15" s="3">
        <v>5971.2</v>
      </c>
      <c r="K15" s="3" t="s">
        <v>1021</v>
      </c>
      <c r="L15" s="3">
        <v>675537.6</v>
      </c>
      <c r="M15" s="3">
        <v>226.76</v>
      </c>
      <c r="N15" s="3">
        <v>0.51019999999999999</v>
      </c>
      <c r="O15" s="3">
        <v>55.3</v>
      </c>
      <c r="P15" s="3">
        <v>344.65929999999997</v>
      </c>
      <c r="Q15" s="3">
        <v>12.5398</v>
      </c>
      <c r="R15" s="3">
        <v>357.19909999999999</v>
      </c>
      <c r="S15" s="3">
        <v>3626539</v>
      </c>
      <c r="T15" s="3" t="s">
        <v>1608</v>
      </c>
    </row>
    <row r="16" spans="1:20" x14ac:dyDescent="0.25">
      <c r="A16" s="2">
        <v>13</v>
      </c>
      <c r="B16" s="2">
        <v>2023</v>
      </c>
      <c r="C16" s="2" t="s">
        <v>22</v>
      </c>
      <c r="D16" s="2" t="s">
        <v>1636</v>
      </c>
      <c r="E16" s="2" t="s">
        <v>1619</v>
      </c>
      <c r="F16" s="2" t="s">
        <v>1637</v>
      </c>
      <c r="G16" s="2" t="s">
        <v>909</v>
      </c>
      <c r="H16" s="2" t="s">
        <v>92</v>
      </c>
      <c r="I16" s="2">
        <v>6</v>
      </c>
      <c r="J16" s="2">
        <v>578.1</v>
      </c>
      <c r="K16" s="2" t="s">
        <v>1021</v>
      </c>
      <c r="L16" s="2">
        <v>520089.3</v>
      </c>
      <c r="M16" s="2">
        <v>262.60000000000002</v>
      </c>
      <c r="N16" s="2">
        <v>0.60409999999999997</v>
      </c>
      <c r="O16" s="2">
        <v>77.84</v>
      </c>
      <c r="P16" s="2">
        <v>314.1859</v>
      </c>
      <c r="Q16" s="2">
        <v>20.440799999999999</v>
      </c>
      <c r="R16" s="2">
        <v>334.62670000000003</v>
      </c>
      <c r="S16" s="2">
        <v>1462023</v>
      </c>
      <c r="T16" s="2" t="s">
        <v>1621</v>
      </c>
    </row>
    <row r="17" spans="1:20" x14ac:dyDescent="0.25">
      <c r="A17" s="3">
        <v>14</v>
      </c>
      <c r="B17" s="3">
        <v>2023</v>
      </c>
      <c r="C17" s="3" t="s">
        <v>32</v>
      </c>
      <c r="D17" s="3" t="s">
        <v>1638</v>
      </c>
      <c r="E17" s="3" t="s">
        <v>1602</v>
      </c>
      <c r="F17" s="3" t="s">
        <v>1639</v>
      </c>
      <c r="G17" s="3" t="s">
        <v>909</v>
      </c>
      <c r="H17" s="3" t="s">
        <v>24</v>
      </c>
      <c r="I17" s="3">
        <v>12</v>
      </c>
      <c r="J17" s="3">
        <v>8158.5</v>
      </c>
      <c r="K17" s="3" t="s">
        <v>1021</v>
      </c>
      <c r="L17" s="3">
        <v>735952.6</v>
      </c>
      <c r="M17" s="3">
        <v>494.6</v>
      </c>
      <c r="N17" s="3">
        <v>0.45529999999999998</v>
      </c>
      <c r="O17" s="3">
        <v>65.569999999999993</v>
      </c>
      <c r="P17" s="3">
        <v>335.07920000000001</v>
      </c>
      <c r="Q17" s="3">
        <v>32.430900000000001</v>
      </c>
      <c r="R17" s="3">
        <v>367.51010000000002</v>
      </c>
      <c r="S17" s="3">
        <v>2896932</v>
      </c>
      <c r="T17" s="3" t="s">
        <v>1608</v>
      </c>
    </row>
    <row r="18" spans="1:20" ht="24" x14ac:dyDescent="0.25">
      <c r="A18" s="2">
        <v>15</v>
      </c>
      <c r="B18" s="2">
        <v>2023</v>
      </c>
      <c r="C18" s="2" t="s">
        <v>39</v>
      </c>
      <c r="D18" s="2" t="s">
        <v>1640</v>
      </c>
      <c r="E18" s="2" t="s">
        <v>1623</v>
      </c>
      <c r="F18" s="2" t="s">
        <v>1639</v>
      </c>
      <c r="G18" s="2" t="s">
        <v>1635</v>
      </c>
      <c r="H18" s="2" t="s">
        <v>70</v>
      </c>
      <c r="I18" s="2">
        <v>8</v>
      </c>
      <c r="J18" s="2">
        <v>1273.7</v>
      </c>
      <c r="K18" s="2" t="s">
        <v>1021</v>
      </c>
      <c r="L18" s="2">
        <v>277479.3</v>
      </c>
      <c r="M18" s="2">
        <v>219.46</v>
      </c>
      <c r="N18" s="2">
        <v>0.79269999999999996</v>
      </c>
      <c r="O18" s="2">
        <v>58.65</v>
      </c>
      <c r="P18" s="2">
        <v>219.95779999999999</v>
      </c>
      <c r="Q18" s="2">
        <v>12.8713</v>
      </c>
      <c r="R18" s="2">
        <v>232.82910000000001</v>
      </c>
      <c r="S18" s="2">
        <v>4592581</v>
      </c>
      <c r="T18" s="2" t="s">
        <v>1600</v>
      </c>
    </row>
    <row r="19" spans="1:20" x14ac:dyDescent="0.25">
      <c r="A19" s="3">
        <v>16</v>
      </c>
      <c r="B19" s="3">
        <v>2023</v>
      </c>
      <c r="C19" s="3" t="s">
        <v>46</v>
      </c>
      <c r="D19" s="3" t="s">
        <v>1641</v>
      </c>
      <c r="E19" s="3" t="s">
        <v>1642</v>
      </c>
      <c r="F19" s="3" t="s">
        <v>1628</v>
      </c>
      <c r="G19" s="3" t="s">
        <v>1607</v>
      </c>
      <c r="H19" s="3" t="s">
        <v>92</v>
      </c>
      <c r="I19" s="3">
        <v>7</v>
      </c>
      <c r="J19" s="3">
        <v>1495.9</v>
      </c>
      <c r="K19" s="3" t="s">
        <v>1021</v>
      </c>
      <c r="L19" s="3">
        <v>210808.9</v>
      </c>
      <c r="M19" s="3">
        <v>419.39</v>
      </c>
      <c r="N19" s="3">
        <v>0.72740000000000005</v>
      </c>
      <c r="O19" s="3">
        <v>50.82</v>
      </c>
      <c r="P19" s="3">
        <v>153.3424</v>
      </c>
      <c r="Q19" s="3">
        <v>21.313400000000001</v>
      </c>
      <c r="R19" s="3">
        <v>174.6558</v>
      </c>
      <c r="S19" s="3">
        <v>4517579</v>
      </c>
      <c r="T19" s="3" t="s">
        <v>1621</v>
      </c>
    </row>
    <row r="20" spans="1:20" x14ac:dyDescent="0.25">
      <c r="A20" s="2">
        <v>17</v>
      </c>
      <c r="B20" s="2">
        <v>2023</v>
      </c>
      <c r="C20" s="2" t="s">
        <v>22</v>
      </c>
      <c r="D20" s="2" t="s">
        <v>1643</v>
      </c>
      <c r="E20" s="2" t="s">
        <v>1632</v>
      </c>
      <c r="F20" s="2" t="s">
        <v>1606</v>
      </c>
      <c r="G20" s="2" t="s">
        <v>1617</v>
      </c>
      <c r="H20" s="2" t="s">
        <v>54</v>
      </c>
      <c r="I20" s="2">
        <v>15</v>
      </c>
      <c r="J20" s="2">
        <v>8341.7999999999993</v>
      </c>
      <c r="K20" s="2" t="s">
        <v>1021</v>
      </c>
      <c r="L20" s="2">
        <v>30648.400000000001</v>
      </c>
      <c r="M20" s="2">
        <v>101.57</v>
      </c>
      <c r="N20" s="2">
        <v>0.82089999999999996</v>
      </c>
      <c r="O20" s="2">
        <v>67.13</v>
      </c>
      <c r="P20" s="2">
        <v>25.159300000000002</v>
      </c>
      <c r="Q20" s="2">
        <v>6.8183999999999996</v>
      </c>
      <c r="R20" s="2">
        <v>31.977699999999999</v>
      </c>
      <c r="S20" s="2">
        <v>3673843</v>
      </c>
      <c r="T20" s="2" t="s">
        <v>1608</v>
      </c>
    </row>
    <row r="21" spans="1:20" x14ac:dyDescent="0.25">
      <c r="A21" s="3">
        <v>18</v>
      </c>
      <c r="B21" s="3">
        <v>2023</v>
      </c>
      <c r="C21" s="3" t="s">
        <v>32</v>
      </c>
      <c r="D21" s="3" t="s">
        <v>1644</v>
      </c>
      <c r="E21" s="3" t="s">
        <v>1627</v>
      </c>
      <c r="F21" s="3" t="s">
        <v>1645</v>
      </c>
      <c r="G21" s="3" t="s">
        <v>1646</v>
      </c>
      <c r="H21" s="3" t="s">
        <v>96</v>
      </c>
      <c r="I21" s="3">
        <v>22</v>
      </c>
      <c r="J21" s="3">
        <v>7190.9</v>
      </c>
      <c r="K21" s="3" t="s">
        <v>1021</v>
      </c>
      <c r="L21" s="3">
        <v>919587.8</v>
      </c>
      <c r="M21" s="3">
        <v>59.97</v>
      </c>
      <c r="N21" s="3">
        <v>0.7944</v>
      </c>
      <c r="O21" s="3">
        <v>64.8</v>
      </c>
      <c r="P21" s="3">
        <v>730.52049999999997</v>
      </c>
      <c r="Q21" s="3">
        <v>3.8860999999999999</v>
      </c>
      <c r="R21" s="3">
        <v>734.40660000000003</v>
      </c>
      <c r="S21" s="3">
        <v>479976</v>
      </c>
      <c r="T21" s="3" t="s">
        <v>1621</v>
      </c>
    </row>
    <row r="22" spans="1:20" x14ac:dyDescent="0.25">
      <c r="A22" s="2">
        <v>19</v>
      </c>
      <c r="B22" s="2">
        <v>2023</v>
      </c>
      <c r="C22" s="2" t="s">
        <v>39</v>
      </c>
      <c r="D22" s="2" t="s">
        <v>1647</v>
      </c>
      <c r="E22" s="2" t="s">
        <v>1619</v>
      </c>
      <c r="F22" s="2" t="s">
        <v>1611</v>
      </c>
      <c r="G22" s="2" t="s">
        <v>1607</v>
      </c>
      <c r="H22" s="2" t="s">
        <v>154</v>
      </c>
      <c r="I22" s="2">
        <v>25</v>
      </c>
      <c r="J22" s="2">
        <v>8056</v>
      </c>
      <c r="K22" s="2" t="s">
        <v>1021</v>
      </c>
      <c r="L22" s="2">
        <v>745556.1</v>
      </c>
      <c r="M22" s="2">
        <v>111.22</v>
      </c>
      <c r="N22" s="2">
        <v>0.38719999999999999</v>
      </c>
      <c r="O22" s="2">
        <v>54.7</v>
      </c>
      <c r="P22" s="2">
        <v>288.67930000000001</v>
      </c>
      <c r="Q22" s="2">
        <v>6.0837000000000003</v>
      </c>
      <c r="R22" s="2">
        <v>294.76299999999998</v>
      </c>
      <c r="S22" s="2">
        <v>1709919</v>
      </c>
      <c r="T22" s="2" t="s">
        <v>1621</v>
      </c>
    </row>
    <row r="23" spans="1:20" x14ac:dyDescent="0.25">
      <c r="A23" s="3">
        <v>20</v>
      </c>
      <c r="B23" s="3">
        <v>2023</v>
      </c>
      <c r="C23" s="3" t="s">
        <v>46</v>
      </c>
      <c r="D23" s="3" t="s">
        <v>1648</v>
      </c>
      <c r="E23" s="3" t="s">
        <v>1619</v>
      </c>
      <c r="F23" s="3" t="s">
        <v>1628</v>
      </c>
      <c r="G23" s="3" t="s">
        <v>1649</v>
      </c>
      <c r="H23" s="3" t="s">
        <v>154</v>
      </c>
      <c r="I23" s="3">
        <v>21</v>
      </c>
      <c r="J23" s="3">
        <v>8933.5</v>
      </c>
      <c r="K23" s="3" t="s">
        <v>1021</v>
      </c>
      <c r="L23" s="3">
        <v>43165.1</v>
      </c>
      <c r="M23" s="3">
        <v>50.22</v>
      </c>
      <c r="N23" s="3">
        <v>0.7026</v>
      </c>
      <c r="O23" s="3">
        <v>65.64</v>
      </c>
      <c r="P23" s="3">
        <v>30.3278</v>
      </c>
      <c r="Q23" s="3">
        <v>3.2964000000000002</v>
      </c>
      <c r="R23" s="3">
        <v>33.624200000000002</v>
      </c>
      <c r="S23" s="3">
        <v>992473</v>
      </c>
      <c r="T23" s="3" t="s">
        <v>1621</v>
      </c>
    </row>
    <row r="24" spans="1:20" x14ac:dyDescent="0.25">
      <c r="A24" s="2">
        <v>21</v>
      </c>
      <c r="B24" s="2">
        <v>2023</v>
      </c>
      <c r="C24" s="2" t="s">
        <v>22</v>
      </c>
      <c r="D24" s="2" t="s">
        <v>1650</v>
      </c>
      <c r="E24" s="2" t="s">
        <v>1610</v>
      </c>
      <c r="F24" s="2" t="s">
        <v>1651</v>
      </c>
      <c r="G24" s="2" t="s">
        <v>1614</v>
      </c>
      <c r="H24" s="2" t="s">
        <v>117</v>
      </c>
      <c r="I24" s="2">
        <v>5</v>
      </c>
      <c r="J24" s="2">
        <v>1455.1</v>
      </c>
      <c r="K24" s="2" t="s">
        <v>1021</v>
      </c>
      <c r="L24" s="2">
        <v>379328</v>
      </c>
      <c r="M24" s="2">
        <v>471.58</v>
      </c>
      <c r="N24" s="2">
        <v>0.68669999999999998</v>
      </c>
      <c r="O24" s="2">
        <v>57.96</v>
      </c>
      <c r="P24" s="2">
        <v>260.48450000000003</v>
      </c>
      <c r="Q24" s="2">
        <v>27.332799999999999</v>
      </c>
      <c r="R24" s="2">
        <v>287.81729999999999</v>
      </c>
      <c r="S24" s="2">
        <v>799594</v>
      </c>
      <c r="T24" s="2" t="s">
        <v>1621</v>
      </c>
    </row>
    <row r="25" spans="1:20" ht="24" x14ac:dyDescent="0.25">
      <c r="A25" s="3">
        <v>22</v>
      </c>
      <c r="B25" s="3">
        <v>2023</v>
      </c>
      <c r="C25" s="3" t="s">
        <v>32</v>
      </c>
      <c r="D25" s="3" t="s">
        <v>1652</v>
      </c>
      <c r="E25" s="3" t="s">
        <v>1627</v>
      </c>
      <c r="F25" s="3" t="s">
        <v>1620</v>
      </c>
      <c r="G25" s="3" t="s">
        <v>1617</v>
      </c>
      <c r="H25" s="3" t="s">
        <v>120</v>
      </c>
      <c r="I25" s="3">
        <v>14</v>
      </c>
      <c r="J25" s="3">
        <v>9513.2000000000007</v>
      </c>
      <c r="K25" s="3" t="s">
        <v>1021</v>
      </c>
      <c r="L25" s="3">
        <v>857871</v>
      </c>
      <c r="M25" s="3">
        <v>374.72</v>
      </c>
      <c r="N25" s="3">
        <v>0.35160000000000002</v>
      </c>
      <c r="O25" s="3">
        <v>52.02</v>
      </c>
      <c r="P25" s="3">
        <v>301.62740000000002</v>
      </c>
      <c r="Q25" s="3">
        <v>19.492899999999999</v>
      </c>
      <c r="R25" s="3">
        <v>321.12029999999999</v>
      </c>
      <c r="S25" s="3">
        <v>2810799</v>
      </c>
      <c r="T25" s="3" t="s">
        <v>1600</v>
      </c>
    </row>
    <row r="26" spans="1:20" ht="24" x14ac:dyDescent="0.25">
      <c r="A26" s="2">
        <v>23</v>
      </c>
      <c r="B26" s="2">
        <v>2023</v>
      </c>
      <c r="C26" s="2" t="s">
        <v>39</v>
      </c>
      <c r="D26" s="2" t="s">
        <v>1653</v>
      </c>
      <c r="E26" s="2" t="s">
        <v>1642</v>
      </c>
      <c r="F26" s="2" t="s">
        <v>1654</v>
      </c>
      <c r="G26" s="2" t="s">
        <v>1629</v>
      </c>
      <c r="H26" s="2" t="s">
        <v>70</v>
      </c>
      <c r="I26" s="2">
        <v>10</v>
      </c>
      <c r="J26" s="2">
        <v>6172.4</v>
      </c>
      <c r="K26" s="2" t="s">
        <v>1021</v>
      </c>
      <c r="L26" s="2">
        <v>632871.30000000005</v>
      </c>
      <c r="M26" s="2">
        <v>117.36</v>
      </c>
      <c r="N26" s="2">
        <v>0.52439999999999998</v>
      </c>
      <c r="O26" s="2">
        <v>65.91</v>
      </c>
      <c r="P26" s="2">
        <v>331.8777</v>
      </c>
      <c r="Q26" s="2">
        <v>7.7351999999999999</v>
      </c>
      <c r="R26" s="2">
        <v>339.61290000000002</v>
      </c>
      <c r="S26" s="2">
        <v>4773959</v>
      </c>
      <c r="T26" s="2" t="s">
        <v>1600</v>
      </c>
    </row>
    <row r="27" spans="1:20" x14ac:dyDescent="0.25">
      <c r="A27" s="3">
        <v>24</v>
      </c>
      <c r="B27" s="3">
        <v>2023</v>
      </c>
      <c r="C27" s="3" t="s">
        <v>46</v>
      </c>
      <c r="D27" s="3" t="s">
        <v>1655</v>
      </c>
      <c r="E27" s="3" t="s">
        <v>1632</v>
      </c>
      <c r="F27" s="3" t="s">
        <v>1654</v>
      </c>
      <c r="G27" s="3" t="s">
        <v>1625</v>
      </c>
      <c r="H27" s="3" t="s">
        <v>204</v>
      </c>
      <c r="I27" s="3">
        <v>11</v>
      </c>
      <c r="J27" s="3">
        <v>4953.2</v>
      </c>
      <c r="K27" s="3" t="s">
        <v>1021</v>
      </c>
      <c r="L27" s="3">
        <v>631877.4</v>
      </c>
      <c r="M27" s="3">
        <v>298.92</v>
      </c>
      <c r="N27" s="3">
        <v>0.62170000000000003</v>
      </c>
      <c r="O27" s="3">
        <v>58.86</v>
      </c>
      <c r="P27" s="3">
        <v>392.83819999999997</v>
      </c>
      <c r="Q27" s="3">
        <v>17.5944</v>
      </c>
      <c r="R27" s="3">
        <v>410.43259999999998</v>
      </c>
      <c r="S27" s="3">
        <v>1133706</v>
      </c>
      <c r="T27" s="3" t="s">
        <v>1621</v>
      </c>
    </row>
    <row r="28" spans="1:20" ht="24" x14ac:dyDescent="0.25">
      <c r="A28" s="2">
        <v>25</v>
      </c>
      <c r="B28" s="2">
        <v>2023</v>
      </c>
      <c r="C28" s="2" t="s">
        <v>22</v>
      </c>
      <c r="D28" s="2" t="s">
        <v>1656</v>
      </c>
      <c r="E28" s="2" t="s">
        <v>1616</v>
      </c>
      <c r="F28" s="2" t="s">
        <v>1657</v>
      </c>
      <c r="G28" s="2" t="s">
        <v>1614</v>
      </c>
      <c r="H28" s="2" t="s">
        <v>58</v>
      </c>
      <c r="I28" s="2">
        <v>14</v>
      </c>
      <c r="J28" s="2">
        <v>1246.5999999999999</v>
      </c>
      <c r="K28" s="2" t="s">
        <v>1055</v>
      </c>
      <c r="L28" s="2">
        <v>467412.3</v>
      </c>
      <c r="M28" s="2">
        <v>159.44999999999999</v>
      </c>
      <c r="N28" s="2">
        <v>0.40679999999999999</v>
      </c>
      <c r="O28" s="2">
        <v>70.91</v>
      </c>
      <c r="P28" s="2">
        <v>190.14330000000001</v>
      </c>
      <c r="Q28" s="2">
        <v>11.3066</v>
      </c>
      <c r="R28" s="2">
        <v>201.44990000000001</v>
      </c>
      <c r="S28" s="2">
        <v>3538853</v>
      </c>
      <c r="T28" s="2" t="s">
        <v>1600</v>
      </c>
    </row>
    <row r="29" spans="1:20" x14ac:dyDescent="0.25">
      <c r="A29" s="3">
        <v>26</v>
      </c>
      <c r="B29" s="3">
        <v>2023</v>
      </c>
      <c r="C29" s="3" t="s">
        <v>32</v>
      </c>
      <c r="D29" s="3" t="s">
        <v>1658</v>
      </c>
      <c r="E29" s="3" t="s">
        <v>1610</v>
      </c>
      <c r="F29" s="3" t="s">
        <v>1659</v>
      </c>
      <c r="G29" s="3" t="s">
        <v>1646</v>
      </c>
      <c r="H29" s="3" t="s">
        <v>154</v>
      </c>
      <c r="I29" s="3">
        <v>11</v>
      </c>
      <c r="J29" s="3">
        <v>386.7</v>
      </c>
      <c r="K29" s="3" t="s">
        <v>1021</v>
      </c>
      <c r="L29" s="3">
        <v>271584.2</v>
      </c>
      <c r="M29" s="3">
        <v>107.55</v>
      </c>
      <c r="N29" s="3">
        <v>0.77549999999999997</v>
      </c>
      <c r="O29" s="3">
        <v>62.27</v>
      </c>
      <c r="P29" s="3">
        <v>210.61349999999999</v>
      </c>
      <c r="Q29" s="3">
        <v>6.6970999999999998</v>
      </c>
      <c r="R29" s="3">
        <v>217.31059999999999</v>
      </c>
      <c r="S29" s="3">
        <v>2833174</v>
      </c>
      <c r="T29" s="3" t="s">
        <v>1608</v>
      </c>
    </row>
    <row r="30" spans="1:20" x14ac:dyDescent="0.25">
      <c r="A30" s="2">
        <v>27</v>
      </c>
      <c r="B30" s="2">
        <v>2023</v>
      </c>
      <c r="C30" s="2" t="s">
        <v>39</v>
      </c>
      <c r="D30" s="2" t="s">
        <v>1660</v>
      </c>
      <c r="E30" s="2" t="s">
        <v>1616</v>
      </c>
      <c r="F30" s="2" t="s">
        <v>1624</v>
      </c>
      <c r="G30" s="2" t="s">
        <v>1646</v>
      </c>
      <c r="H30" s="2" t="s">
        <v>204</v>
      </c>
      <c r="I30" s="2">
        <v>14</v>
      </c>
      <c r="J30" s="2">
        <v>8109.4</v>
      </c>
      <c r="K30" s="2" t="s">
        <v>1055</v>
      </c>
      <c r="L30" s="2">
        <v>428073.3</v>
      </c>
      <c r="M30" s="2">
        <v>130.35</v>
      </c>
      <c r="N30" s="2">
        <v>0.37730000000000002</v>
      </c>
      <c r="O30" s="2">
        <v>64.569999999999993</v>
      </c>
      <c r="P30" s="2">
        <v>161.5121</v>
      </c>
      <c r="Q30" s="2">
        <v>8.4167000000000005</v>
      </c>
      <c r="R30" s="2">
        <v>169.9288</v>
      </c>
      <c r="S30" s="2">
        <v>1133794</v>
      </c>
      <c r="T30" s="2" t="s">
        <v>1621</v>
      </c>
    </row>
    <row r="31" spans="1:20" ht="24" x14ac:dyDescent="0.25">
      <c r="A31" s="3">
        <v>28</v>
      </c>
      <c r="B31" s="3">
        <v>2023</v>
      </c>
      <c r="C31" s="3" t="s">
        <v>46</v>
      </c>
      <c r="D31" s="3" t="s">
        <v>1661</v>
      </c>
      <c r="E31" s="3" t="s">
        <v>1017</v>
      </c>
      <c r="F31" s="3" t="s">
        <v>1645</v>
      </c>
      <c r="G31" s="3" t="s">
        <v>1161</v>
      </c>
      <c r="H31" s="3" t="s">
        <v>139</v>
      </c>
      <c r="I31" s="3">
        <v>1</v>
      </c>
      <c r="J31" s="3">
        <v>8768.7000000000007</v>
      </c>
      <c r="K31" s="3" t="s">
        <v>1021</v>
      </c>
      <c r="L31" s="3">
        <v>538333</v>
      </c>
      <c r="M31" s="3">
        <v>389.78</v>
      </c>
      <c r="N31" s="3">
        <v>0.4052</v>
      </c>
      <c r="O31" s="3">
        <v>79.05</v>
      </c>
      <c r="P31" s="3">
        <v>218.13249999999999</v>
      </c>
      <c r="Q31" s="3">
        <v>30.812100000000001</v>
      </c>
      <c r="R31" s="3">
        <v>248.94460000000001</v>
      </c>
      <c r="S31" s="3">
        <v>3073219</v>
      </c>
      <c r="T31" s="3" t="s">
        <v>1600</v>
      </c>
    </row>
    <row r="32" spans="1:20" ht="24" x14ac:dyDescent="0.25">
      <c r="A32" s="2">
        <v>29</v>
      </c>
      <c r="B32" s="2">
        <v>2023</v>
      </c>
      <c r="C32" s="2" t="s">
        <v>22</v>
      </c>
      <c r="D32" s="2" t="s">
        <v>1662</v>
      </c>
      <c r="E32" s="2" t="s">
        <v>1602</v>
      </c>
      <c r="F32" s="2" t="s">
        <v>1624</v>
      </c>
      <c r="G32" s="2" t="s">
        <v>1607</v>
      </c>
      <c r="H32" s="2" t="s">
        <v>65</v>
      </c>
      <c r="I32" s="2">
        <v>12</v>
      </c>
      <c r="J32" s="2">
        <v>8043.9</v>
      </c>
      <c r="K32" s="2" t="s">
        <v>1021</v>
      </c>
      <c r="L32" s="2">
        <v>94801.4</v>
      </c>
      <c r="M32" s="2">
        <v>352.37</v>
      </c>
      <c r="N32" s="2">
        <v>0.80610000000000004</v>
      </c>
      <c r="O32" s="2">
        <v>73.010000000000005</v>
      </c>
      <c r="P32" s="2">
        <v>76.419399999999996</v>
      </c>
      <c r="Q32" s="2">
        <v>25.726500000000001</v>
      </c>
      <c r="R32" s="2">
        <v>102.1459</v>
      </c>
      <c r="S32" s="2">
        <v>2786826</v>
      </c>
      <c r="T32" s="2" t="s">
        <v>1600</v>
      </c>
    </row>
    <row r="33" spans="1:20" ht="24" x14ac:dyDescent="0.25">
      <c r="A33" s="3">
        <v>30</v>
      </c>
      <c r="B33" s="3">
        <v>2023</v>
      </c>
      <c r="C33" s="3" t="s">
        <v>32</v>
      </c>
      <c r="D33" s="3" t="s">
        <v>1663</v>
      </c>
      <c r="E33" s="3" t="s">
        <v>1610</v>
      </c>
      <c r="F33" s="3" t="s">
        <v>1613</v>
      </c>
      <c r="G33" s="3" t="s">
        <v>909</v>
      </c>
      <c r="H33" s="3" t="s">
        <v>33</v>
      </c>
      <c r="I33" s="3">
        <v>7</v>
      </c>
      <c r="J33" s="3">
        <v>9853.7000000000007</v>
      </c>
      <c r="K33" s="3" t="s">
        <v>1021</v>
      </c>
      <c r="L33" s="3">
        <v>838958.3</v>
      </c>
      <c r="M33" s="3">
        <v>197.76</v>
      </c>
      <c r="N33" s="3">
        <v>0.70889999999999997</v>
      </c>
      <c r="O33" s="3">
        <v>58.71</v>
      </c>
      <c r="P33" s="3">
        <v>594.73749999999995</v>
      </c>
      <c r="Q33" s="3">
        <v>11.6105</v>
      </c>
      <c r="R33" s="3">
        <v>606.34799999999996</v>
      </c>
      <c r="S33" s="3">
        <v>848951</v>
      </c>
      <c r="T33" s="3" t="s">
        <v>1600</v>
      </c>
    </row>
    <row r="34" spans="1:20" x14ac:dyDescent="0.25">
      <c r="A34" s="2">
        <v>31</v>
      </c>
      <c r="B34" s="2">
        <v>2023</v>
      </c>
      <c r="C34" s="2" t="s">
        <v>39</v>
      </c>
      <c r="D34" s="2" t="s">
        <v>1664</v>
      </c>
      <c r="E34" s="2" t="s">
        <v>1610</v>
      </c>
      <c r="F34" s="2" t="s">
        <v>1657</v>
      </c>
      <c r="G34" s="2" t="s">
        <v>1649</v>
      </c>
      <c r="H34" s="2" t="s">
        <v>110</v>
      </c>
      <c r="I34" s="2">
        <v>10</v>
      </c>
      <c r="J34" s="2">
        <v>9406.1</v>
      </c>
      <c r="K34" s="2" t="s">
        <v>1021</v>
      </c>
      <c r="L34" s="2">
        <v>40894.6</v>
      </c>
      <c r="M34" s="2">
        <v>10.01</v>
      </c>
      <c r="N34" s="2">
        <v>0.82020000000000004</v>
      </c>
      <c r="O34" s="2">
        <v>53.08</v>
      </c>
      <c r="P34" s="2">
        <v>33.541800000000002</v>
      </c>
      <c r="Q34" s="2">
        <v>0.53129999999999999</v>
      </c>
      <c r="R34" s="2">
        <v>34.073099999999997</v>
      </c>
      <c r="S34" s="2">
        <v>2019790</v>
      </c>
      <c r="T34" s="2" t="s">
        <v>1608</v>
      </c>
    </row>
    <row r="35" spans="1:20" x14ac:dyDescent="0.25">
      <c r="A35" s="3">
        <v>32</v>
      </c>
      <c r="B35" s="3">
        <v>2023</v>
      </c>
      <c r="C35" s="3" t="s">
        <v>46</v>
      </c>
      <c r="D35" s="3" t="s">
        <v>1665</v>
      </c>
      <c r="E35" s="3" t="s">
        <v>1602</v>
      </c>
      <c r="F35" s="3" t="s">
        <v>1637</v>
      </c>
      <c r="G35" s="3" t="s">
        <v>1617</v>
      </c>
      <c r="H35" s="3" t="s">
        <v>54</v>
      </c>
      <c r="I35" s="3">
        <v>24</v>
      </c>
      <c r="J35" s="3">
        <v>2377.1</v>
      </c>
      <c r="K35" s="3" t="s">
        <v>1021</v>
      </c>
      <c r="L35" s="3">
        <v>773549.6</v>
      </c>
      <c r="M35" s="3">
        <v>123.65</v>
      </c>
      <c r="N35" s="3">
        <v>0.48620000000000002</v>
      </c>
      <c r="O35" s="3">
        <v>53.71</v>
      </c>
      <c r="P35" s="3">
        <v>376.09980000000002</v>
      </c>
      <c r="Q35" s="3">
        <v>6.6412000000000004</v>
      </c>
      <c r="R35" s="3">
        <v>382.74099999999999</v>
      </c>
      <c r="S35" s="3">
        <v>3931065</v>
      </c>
      <c r="T35" s="3" t="s">
        <v>1608</v>
      </c>
    </row>
    <row r="36" spans="1:20" x14ac:dyDescent="0.25">
      <c r="A36" s="2">
        <v>33</v>
      </c>
      <c r="B36" s="2">
        <v>2023</v>
      </c>
      <c r="C36" s="2" t="s">
        <v>22</v>
      </c>
      <c r="D36" s="2" t="s">
        <v>1666</v>
      </c>
      <c r="E36" s="2" t="s">
        <v>1627</v>
      </c>
      <c r="F36" s="2" t="s">
        <v>1628</v>
      </c>
      <c r="G36" s="2" t="s">
        <v>1161</v>
      </c>
      <c r="H36" s="2" t="s">
        <v>70</v>
      </c>
      <c r="I36" s="2">
        <v>5</v>
      </c>
      <c r="J36" s="2">
        <v>857.6</v>
      </c>
      <c r="K36" s="2" t="s">
        <v>1021</v>
      </c>
      <c r="L36" s="2">
        <v>506987.1</v>
      </c>
      <c r="M36" s="2">
        <v>351.74</v>
      </c>
      <c r="N36" s="2">
        <v>0.71630000000000005</v>
      </c>
      <c r="O36" s="2">
        <v>50.6</v>
      </c>
      <c r="P36" s="2">
        <v>363.1549</v>
      </c>
      <c r="Q36" s="2">
        <v>17.797999999999998</v>
      </c>
      <c r="R36" s="2">
        <v>380.9529</v>
      </c>
      <c r="S36" s="2">
        <v>3726127</v>
      </c>
      <c r="T36" s="2" t="s">
        <v>1621</v>
      </c>
    </row>
    <row r="37" spans="1:20" x14ac:dyDescent="0.25">
      <c r="A37" s="3">
        <v>34</v>
      </c>
      <c r="B37" s="3">
        <v>2023</v>
      </c>
      <c r="C37" s="3" t="s">
        <v>32</v>
      </c>
      <c r="D37" s="3" t="s">
        <v>1667</v>
      </c>
      <c r="E37" s="3" t="s">
        <v>1017</v>
      </c>
      <c r="F37" s="3" t="s">
        <v>1668</v>
      </c>
      <c r="G37" s="3" t="s">
        <v>1646</v>
      </c>
      <c r="H37" s="3" t="s">
        <v>117</v>
      </c>
      <c r="I37" s="3">
        <v>15</v>
      </c>
      <c r="J37" s="3">
        <v>7946.9</v>
      </c>
      <c r="K37" s="3" t="s">
        <v>1021</v>
      </c>
      <c r="L37" s="3">
        <v>198312.7</v>
      </c>
      <c r="M37" s="3">
        <v>302.85000000000002</v>
      </c>
      <c r="N37" s="3">
        <v>0.50609999999999999</v>
      </c>
      <c r="O37" s="3">
        <v>59.71</v>
      </c>
      <c r="P37" s="3">
        <v>100.3661</v>
      </c>
      <c r="Q37" s="3">
        <v>18.083200000000001</v>
      </c>
      <c r="R37" s="3">
        <v>118.44929999999999</v>
      </c>
      <c r="S37" s="3">
        <v>2586160</v>
      </c>
      <c r="T37" s="3" t="s">
        <v>1621</v>
      </c>
    </row>
    <row r="38" spans="1:20" ht="24" x14ac:dyDescent="0.25">
      <c r="A38" s="2">
        <v>35</v>
      </c>
      <c r="B38" s="2">
        <v>2023</v>
      </c>
      <c r="C38" s="2" t="s">
        <v>39</v>
      </c>
      <c r="D38" s="2" t="s">
        <v>1669</v>
      </c>
      <c r="E38" s="2" t="s">
        <v>1627</v>
      </c>
      <c r="F38" s="2" t="s">
        <v>1628</v>
      </c>
      <c r="G38" s="2" t="s">
        <v>1646</v>
      </c>
      <c r="H38" s="2" t="s">
        <v>204</v>
      </c>
      <c r="I38" s="2">
        <v>10</v>
      </c>
      <c r="J38" s="2">
        <v>2716.3</v>
      </c>
      <c r="K38" s="2" t="s">
        <v>1021</v>
      </c>
      <c r="L38" s="2">
        <v>657770.5</v>
      </c>
      <c r="M38" s="2">
        <v>235.7</v>
      </c>
      <c r="N38" s="2">
        <v>0.49559999999999998</v>
      </c>
      <c r="O38" s="2">
        <v>52.79</v>
      </c>
      <c r="P38" s="2">
        <v>325.99110000000002</v>
      </c>
      <c r="Q38" s="2">
        <v>12.442600000000001</v>
      </c>
      <c r="R38" s="2">
        <v>338.43369999999999</v>
      </c>
      <c r="S38" s="2">
        <v>4836087</v>
      </c>
      <c r="T38" s="2" t="s">
        <v>1600</v>
      </c>
    </row>
    <row r="39" spans="1:20" x14ac:dyDescent="0.25">
      <c r="A39" s="3">
        <v>36</v>
      </c>
      <c r="B39" s="3">
        <v>2023</v>
      </c>
      <c r="C39" s="3" t="s">
        <v>46</v>
      </c>
      <c r="D39" s="3" t="s">
        <v>1670</v>
      </c>
      <c r="E39" s="3" t="s">
        <v>1605</v>
      </c>
      <c r="F39" s="3" t="s">
        <v>1671</v>
      </c>
      <c r="G39" s="3" t="s">
        <v>1614</v>
      </c>
      <c r="H39" s="3" t="s">
        <v>65</v>
      </c>
      <c r="I39" s="3">
        <v>19</v>
      </c>
      <c r="J39" s="3">
        <v>5115.3</v>
      </c>
      <c r="K39" s="3" t="s">
        <v>1021</v>
      </c>
      <c r="L39" s="3">
        <v>385496.3</v>
      </c>
      <c r="M39" s="3">
        <v>496.58</v>
      </c>
      <c r="N39" s="3">
        <v>0.71379999999999999</v>
      </c>
      <c r="O39" s="3">
        <v>78.540000000000006</v>
      </c>
      <c r="P39" s="3">
        <v>275.16730000000001</v>
      </c>
      <c r="Q39" s="3">
        <v>39.001399999999997</v>
      </c>
      <c r="R39" s="3">
        <v>314.1687</v>
      </c>
      <c r="S39" s="3">
        <v>3825367</v>
      </c>
      <c r="T39" s="3" t="s">
        <v>1621</v>
      </c>
    </row>
    <row r="40" spans="1:20" x14ac:dyDescent="0.25">
      <c r="A40" s="2">
        <v>37</v>
      </c>
      <c r="B40" s="2">
        <v>2023</v>
      </c>
      <c r="C40" s="2" t="s">
        <v>22</v>
      </c>
      <c r="D40" s="2" t="s">
        <v>1672</v>
      </c>
      <c r="E40" s="2" t="s">
        <v>1616</v>
      </c>
      <c r="F40" s="2" t="s">
        <v>1673</v>
      </c>
      <c r="G40" s="2" t="s">
        <v>1635</v>
      </c>
      <c r="H40" s="2" t="s">
        <v>139</v>
      </c>
      <c r="I40" s="2">
        <v>6</v>
      </c>
      <c r="J40" s="2">
        <v>7734.9</v>
      </c>
      <c r="K40" s="2" t="s">
        <v>1055</v>
      </c>
      <c r="L40" s="2">
        <v>449849.9</v>
      </c>
      <c r="M40" s="2">
        <v>238.4</v>
      </c>
      <c r="N40" s="2">
        <v>0.40450000000000003</v>
      </c>
      <c r="O40" s="2">
        <v>59.32</v>
      </c>
      <c r="P40" s="2">
        <v>181.96430000000001</v>
      </c>
      <c r="Q40" s="2">
        <v>14.1419</v>
      </c>
      <c r="R40" s="2">
        <v>196.1062</v>
      </c>
      <c r="S40" s="2">
        <v>761668</v>
      </c>
      <c r="T40" s="2" t="s">
        <v>1621</v>
      </c>
    </row>
    <row r="41" spans="1:20" x14ac:dyDescent="0.25">
      <c r="A41" s="3">
        <v>38</v>
      </c>
      <c r="B41" s="3">
        <v>2023</v>
      </c>
      <c r="C41" s="3" t="s">
        <v>32</v>
      </c>
      <c r="D41" s="3" t="s">
        <v>1674</v>
      </c>
      <c r="E41" s="3" t="s">
        <v>1632</v>
      </c>
      <c r="F41" s="3" t="s">
        <v>1603</v>
      </c>
      <c r="G41" s="3" t="s">
        <v>1649</v>
      </c>
      <c r="H41" s="3" t="s">
        <v>92</v>
      </c>
      <c r="I41" s="3">
        <v>16</v>
      </c>
      <c r="J41" s="3">
        <v>5974.8</v>
      </c>
      <c r="K41" s="3" t="s">
        <v>1021</v>
      </c>
      <c r="L41" s="3">
        <v>88469.3</v>
      </c>
      <c r="M41" s="3">
        <v>201.6</v>
      </c>
      <c r="N41" s="3">
        <v>0.76900000000000002</v>
      </c>
      <c r="O41" s="3">
        <v>65.7</v>
      </c>
      <c r="P41" s="3">
        <v>68.032899999999998</v>
      </c>
      <c r="Q41" s="3">
        <v>13.245100000000001</v>
      </c>
      <c r="R41" s="3">
        <v>81.278000000000006</v>
      </c>
      <c r="S41" s="3">
        <v>4206268</v>
      </c>
      <c r="T41" s="3" t="s">
        <v>1608</v>
      </c>
    </row>
    <row r="42" spans="1:20" ht="24" x14ac:dyDescent="0.25">
      <c r="A42" s="2">
        <v>39</v>
      </c>
      <c r="B42" s="2">
        <v>2023</v>
      </c>
      <c r="C42" s="2" t="s">
        <v>39</v>
      </c>
      <c r="D42" s="2" t="s">
        <v>1675</v>
      </c>
      <c r="E42" s="2" t="s">
        <v>1616</v>
      </c>
      <c r="F42" s="2" t="s">
        <v>1668</v>
      </c>
      <c r="G42" s="2" t="s">
        <v>1646</v>
      </c>
      <c r="H42" s="2" t="s">
        <v>96</v>
      </c>
      <c r="I42" s="2">
        <v>7</v>
      </c>
      <c r="J42" s="2">
        <v>3183.4</v>
      </c>
      <c r="K42" s="2" t="s">
        <v>1055</v>
      </c>
      <c r="L42" s="2">
        <v>341179.1</v>
      </c>
      <c r="M42" s="2">
        <v>75.31</v>
      </c>
      <c r="N42" s="2">
        <v>0.51070000000000004</v>
      </c>
      <c r="O42" s="2">
        <v>66.959999999999994</v>
      </c>
      <c r="P42" s="2">
        <v>174.24019999999999</v>
      </c>
      <c r="Q42" s="2">
        <v>5.0427999999999997</v>
      </c>
      <c r="R42" s="2">
        <v>179.28299999999999</v>
      </c>
      <c r="S42" s="2">
        <v>2062345</v>
      </c>
      <c r="T42" s="2" t="s">
        <v>1600</v>
      </c>
    </row>
    <row r="43" spans="1:20" x14ac:dyDescent="0.25">
      <c r="A43" s="3">
        <v>40</v>
      </c>
      <c r="B43" s="3">
        <v>2023</v>
      </c>
      <c r="C43" s="3" t="s">
        <v>46</v>
      </c>
      <c r="D43" s="3" t="s">
        <v>1676</v>
      </c>
      <c r="E43" s="3" t="s">
        <v>1632</v>
      </c>
      <c r="F43" s="3" t="s">
        <v>1673</v>
      </c>
      <c r="G43" s="3" t="s">
        <v>1635</v>
      </c>
      <c r="H43" s="3" t="s">
        <v>33</v>
      </c>
      <c r="I43" s="3">
        <v>23</v>
      </c>
      <c r="J43" s="3">
        <v>5501.3</v>
      </c>
      <c r="K43" s="3" t="s">
        <v>1021</v>
      </c>
      <c r="L43" s="3">
        <v>316451.09999999998</v>
      </c>
      <c r="M43" s="3">
        <v>326</v>
      </c>
      <c r="N43" s="3">
        <v>0.51090000000000002</v>
      </c>
      <c r="O43" s="3">
        <v>71.27</v>
      </c>
      <c r="P43" s="3">
        <v>161.67490000000001</v>
      </c>
      <c r="Q43" s="3">
        <v>23.234000000000002</v>
      </c>
      <c r="R43" s="3">
        <v>184.90889999999999</v>
      </c>
      <c r="S43" s="3">
        <v>2596434</v>
      </c>
      <c r="T43" s="3" t="s">
        <v>1621</v>
      </c>
    </row>
    <row r="44" spans="1:20" x14ac:dyDescent="0.25">
      <c r="A44" s="2">
        <v>41</v>
      </c>
      <c r="B44" s="2">
        <v>2023</v>
      </c>
      <c r="C44" s="2" t="s">
        <v>22</v>
      </c>
      <c r="D44" s="2" t="s">
        <v>1677</v>
      </c>
      <c r="E44" s="2" t="s">
        <v>1616</v>
      </c>
      <c r="F44" s="2" t="s">
        <v>1671</v>
      </c>
      <c r="G44" s="2" t="s">
        <v>1649</v>
      </c>
      <c r="H44" s="2" t="s">
        <v>70</v>
      </c>
      <c r="I44" s="2">
        <v>14</v>
      </c>
      <c r="J44" s="2">
        <v>1360.1</v>
      </c>
      <c r="K44" s="2" t="s">
        <v>1055</v>
      </c>
      <c r="L44" s="2">
        <v>18556.400000000001</v>
      </c>
      <c r="M44" s="2">
        <v>259.97000000000003</v>
      </c>
      <c r="N44" s="2">
        <v>0.41070000000000001</v>
      </c>
      <c r="O44" s="2">
        <v>55.92</v>
      </c>
      <c r="P44" s="2">
        <v>7.6211000000000002</v>
      </c>
      <c r="Q44" s="2">
        <v>14.5375</v>
      </c>
      <c r="R44" s="2">
        <v>22.1586</v>
      </c>
      <c r="S44" s="2">
        <v>4355258</v>
      </c>
      <c r="T44" s="2" t="s">
        <v>1608</v>
      </c>
    </row>
    <row r="45" spans="1:20" ht="24" x14ac:dyDescent="0.25">
      <c r="A45" s="3">
        <v>42</v>
      </c>
      <c r="B45" s="3">
        <v>2023</v>
      </c>
      <c r="C45" s="3" t="s">
        <v>32</v>
      </c>
      <c r="D45" s="3" t="s">
        <v>1678</v>
      </c>
      <c r="E45" s="3" t="s">
        <v>1623</v>
      </c>
      <c r="F45" s="3" t="s">
        <v>1671</v>
      </c>
      <c r="G45" s="3" t="s">
        <v>1625</v>
      </c>
      <c r="H45" s="3" t="s">
        <v>117</v>
      </c>
      <c r="I45" s="3">
        <v>24</v>
      </c>
      <c r="J45" s="3">
        <v>6299</v>
      </c>
      <c r="K45" s="3" t="s">
        <v>1021</v>
      </c>
      <c r="L45" s="3">
        <v>526966.1</v>
      </c>
      <c r="M45" s="3">
        <v>69.930000000000007</v>
      </c>
      <c r="N45" s="3">
        <v>0.78710000000000002</v>
      </c>
      <c r="O45" s="3">
        <v>62.54</v>
      </c>
      <c r="P45" s="3">
        <v>414.77499999999998</v>
      </c>
      <c r="Q45" s="3">
        <v>4.3734000000000002</v>
      </c>
      <c r="R45" s="3">
        <v>419.14839999999998</v>
      </c>
      <c r="S45" s="3">
        <v>95830</v>
      </c>
      <c r="T45" s="3" t="s">
        <v>1600</v>
      </c>
    </row>
    <row r="46" spans="1:20" ht="24" x14ac:dyDescent="0.25">
      <c r="A46" s="2">
        <v>43</v>
      </c>
      <c r="B46" s="2">
        <v>2023</v>
      </c>
      <c r="C46" s="2" t="s">
        <v>39</v>
      </c>
      <c r="D46" s="2" t="s">
        <v>1679</v>
      </c>
      <c r="E46" s="2" t="s">
        <v>1642</v>
      </c>
      <c r="F46" s="2" t="s">
        <v>1620</v>
      </c>
      <c r="G46" s="2" t="s">
        <v>1161</v>
      </c>
      <c r="H46" s="2" t="s">
        <v>96</v>
      </c>
      <c r="I46" s="2">
        <v>12</v>
      </c>
      <c r="J46" s="2">
        <v>5272.6</v>
      </c>
      <c r="K46" s="2" t="s">
        <v>1021</v>
      </c>
      <c r="L46" s="2">
        <v>617025</v>
      </c>
      <c r="M46" s="2">
        <v>185.82</v>
      </c>
      <c r="N46" s="2">
        <v>0.67510000000000003</v>
      </c>
      <c r="O46" s="2">
        <v>54.25</v>
      </c>
      <c r="P46" s="2">
        <v>416.55360000000002</v>
      </c>
      <c r="Q46" s="2">
        <v>10.0807</v>
      </c>
      <c r="R46" s="2">
        <v>426.6343</v>
      </c>
      <c r="S46" s="2">
        <v>2640094</v>
      </c>
      <c r="T46" s="2" t="s">
        <v>1600</v>
      </c>
    </row>
    <row r="47" spans="1:20" x14ac:dyDescent="0.25">
      <c r="A47" s="3">
        <v>44</v>
      </c>
      <c r="B47" s="3">
        <v>2023</v>
      </c>
      <c r="C47" s="3" t="s">
        <v>46</v>
      </c>
      <c r="D47" s="3" t="s">
        <v>1680</v>
      </c>
      <c r="E47" s="3" t="s">
        <v>1017</v>
      </c>
      <c r="F47" s="3" t="s">
        <v>1645</v>
      </c>
      <c r="G47" s="3" t="s">
        <v>1617</v>
      </c>
      <c r="H47" s="3" t="s">
        <v>139</v>
      </c>
      <c r="I47" s="3">
        <v>23</v>
      </c>
      <c r="J47" s="3">
        <v>2587.3000000000002</v>
      </c>
      <c r="K47" s="3" t="s">
        <v>1021</v>
      </c>
      <c r="L47" s="3">
        <v>465565.8</v>
      </c>
      <c r="M47" s="3">
        <v>468.1</v>
      </c>
      <c r="N47" s="3">
        <v>0.8135</v>
      </c>
      <c r="O47" s="3">
        <v>71.599999999999994</v>
      </c>
      <c r="P47" s="3">
        <v>378.73779999999999</v>
      </c>
      <c r="Q47" s="3">
        <v>33.515999999999998</v>
      </c>
      <c r="R47" s="3">
        <v>412.25380000000001</v>
      </c>
      <c r="S47" s="3">
        <v>4269361</v>
      </c>
      <c r="T47" s="3" t="s">
        <v>1608</v>
      </c>
    </row>
    <row r="48" spans="1:20" x14ac:dyDescent="0.25">
      <c r="A48" s="2">
        <v>45</v>
      </c>
      <c r="B48" s="2">
        <v>2023</v>
      </c>
      <c r="C48" s="2" t="s">
        <v>22</v>
      </c>
      <c r="D48" s="2" t="s">
        <v>1681</v>
      </c>
      <c r="E48" s="2" t="s">
        <v>1602</v>
      </c>
      <c r="F48" s="2" t="s">
        <v>1620</v>
      </c>
      <c r="G48" s="2" t="s">
        <v>1635</v>
      </c>
      <c r="H48" s="2" t="s">
        <v>139</v>
      </c>
      <c r="I48" s="2">
        <v>15</v>
      </c>
      <c r="J48" s="2">
        <v>3245.1</v>
      </c>
      <c r="K48" s="2" t="s">
        <v>1021</v>
      </c>
      <c r="L48" s="2">
        <v>183329.7</v>
      </c>
      <c r="M48" s="2">
        <v>235.25</v>
      </c>
      <c r="N48" s="2">
        <v>0.84670000000000001</v>
      </c>
      <c r="O48" s="2">
        <v>50.17</v>
      </c>
      <c r="P48" s="2">
        <v>155.2253</v>
      </c>
      <c r="Q48" s="2">
        <v>11.8025</v>
      </c>
      <c r="R48" s="2">
        <v>167.02780000000001</v>
      </c>
      <c r="S48" s="2">
        <v>3522250</v>
      </c>
      <c r="T48" s="2" t="s">
        <v>1608</v>
      </c>
    </row>
    <row r="49" spans="1:20" x14ac:dyDescent="0.25">
      <c r="A49" s="3">
        <v>46</v>
      </c>
      <c r="B49" s="3">
        <v>2023</v>
      </c>
      <c r="C49" s="3" t="s">
        <v>32</v>
      </c>
      <c r="D49" s="3" t="s">
        <v>1682</v>
      </c>
      <c r="E49" s="3" t="s">
        <v>1627</v>
      </c>
      <c r="F49" s="3" t="s">
        <v>1668</v>
      </c>
      <c r="G49" s="3" t="s">
        <v>1629</v>
      </c>
      <c r="H49" s="3" t="s">
        <v>117</v>
      </c>
      <c r="I49" s="3">
        <v>10</v>
      </c>
      <c r="J49" s="3">
        <v>705</v>
      </c>
      <c r="K49" s="3" t="s">
        <v>1021</v>
      </c>
      <c r="L49" s="3">
        <v>471350.6</v>
      </c>
      <c r="M49" s="3">
        <v>78.23</v>
      </c>
      <c r="N49" s="3">
        <v>0.5252</v>
      </c>
      <c r="O49" s="3">
        <v>66.77</v>
      </c>
      <c r="P49" s="3">
        <v>247.55330000000001</v>
      </c>
      <c r="Q49" s="3">
        <v>5.2233999999999998</v>
      </c>
      <c r="R49" s="3">
        <v>252.77670000000001</v>
      </c>
      <c r="S49" s="3">
        <v>1168846</v>
      </c>
      <c r="T49" s="3" t="s">
        <v>1608</v>
      </c>
    </row>
    <row r="50" spans="1:20" x14ac:dyDescent="0.25">
      <c r="A50" s="2">
        <v>47</v>
      </c>
      <c r="B50" s="2">
        <v>2023</v>
      </c>
      <c r="C50" s="2" t="s">
        <v>39</v>
      </c>
      <c r="D50" s="2" t="s">
        <v>1683</v>
      </c>
      <c r="E50" s="2" t="s">
        <v>1017</v>
      </c>
      <c r="F50" s="2" t="s">
        <v>1620</v>
      </c>
      <c r="G50" s="2" t="s">
        <v>1635</v>
      </c>
      <c r="H50" s="2" t="s">
        <v>58</v>
      </c>
      <c r="I50" s="2">
        <v>5</v>
      </c>
      <c r="J50" s="2">
        <v>7320.3</v>
      </c>
      <c r="K50" s="2" t="s">
        <v>1021</v>
      </c>
      <c r="L50" s="2">
        <v>370438.40000000002</v>
      </c>
      <c r="M50" s="2">
        <v>383.49</v>
      </c>
      <c r="N50" s="2">
        <v>0.81720000000000004</v>
      </c>
      <c r="O50" s="2">
        <v>66.83</v>
      </c>
      <c r="P50" s="2">
        <v>302.72230000000002</v>
      </c>
      <c r="Q50" s="2">
        <v>25.628599999999999</v>
      </c>
      <c r="R50" s="2">
        <v>328.35090000000002</v>
      </c>
      <c r="S50" s="2">
        <v>3225917</v>
      </c>
      <c r="T50" s="2" t="s">
        <v>1621</v>
      </c>
    </row>
    <row r="51" spans="1:20" ht="24" x14ac:dyDescent="0.25">
      <c r="A51" s="3">
        <v>48</v>
      </c>
      <c r="B51" s="3">
        <v>2023</v>
      </c>
      <c r="C51" s="3" t="s">
        <v>46</v>
      </c>
      <c r="D51" s="3" t="s">
        <v>1684</v>
      </c>
      <c r="E51" s="3" t="s">
        <v>1610</v>
      </c>
      <c r="F51" s="3" t="s">
        <v>1659</v>
      </c>
      <c r="G51" s="3" t="s">
        <v>1161</v>
      </c>
      <c r="H51" s="3" t="s">
        <v>92</v>
      </c>
      <c r="I51" s="3">
        <v>19</v>
      </c>
      <c r="J51" s="3">
        <v>2871.9</v>
      </c>
      <c r="K51" s="3" t="s">
        <v>1021</v>
      </c>
      <c r="L51" s="3">
        <v>266622.90000000002</v>
      </c>
      <c r="M51" s="3">
        <v>51.16</v>
      </c>
      <c r="N51" s="3">
        <v>0.74839999999999995</v>
      </c>
      <c r="O51" s="3">
        <v>67.62</v>
      </c>
      <c r="P51" s="3">
        <v>199.54060000000001</v>
      </c>
      <c r="Q51" s="3">
        <v>3.4594</v>
      </c>
      <c r="R51" s="3">
        <v>203</v>
      </c>
      <c r="S51" s="3">
        <v>3841969</v>
      </c>
      <c r="T51" s="3" t="s">
        <v>1600</v>
      </c>
    </row>
    <row r="52" spans="1:20" x14ac:dyDescent="0.25">
      <c r="A52" s="2">
        <v>49</v>
      </c>
      <c r="B52" s="2">
        <v>2023</v>
      </c>
      <c r="C52" s="2" t="s">
        <v>22</v>
      </c>
      <c r="D52" s="2" t="s">
        <v>1685</v>
      </c>
      <c r="E52" s="2" t="s">
        <v>1642</v>
      </c>
      <c r="F52" s="2" t="s">
        <v>1603</v>
      </c>
      <c r="G52" s="2" t="s">
        <v>1629</v>
      </c>
      <c r="H52" s="2" t="s">
        <v>24</v>
      </c>
      <c r="I52" s="2">
        <v>20</v>
      </c>
      <c r="J52" s="2">
        <v>9669.9</v>
      </c>
      <c r="K52" s="2" t="s">
        <v>1021</v>
      </c>
      <c r="L52" s="2">
        <v>738579.2</v>
      </c>
      <c r="M52" s="2">
        <v>307.94</v>
      </c>
      <c r="N52" s="2">
        <v>0.80459999999999998</v>
      </c>
      <c r="O52" s="2">
        <v>56.28</v>
      </c>
      <c r="P52" s="2">
        <v>594.26080000000002</v>
      </c>
      <c r="Q52" s="2">
        <v>17.3309</v>
      </c>
      <c r="R52" s="2">
        <v>611.59169999999995</v>
      </c>
      <c r="S52" s="2">
        <v>63220</v>
      </c>
      <c r="T52" s="2" t="s">
        <v>1621</v>
      </c>
    </row>
    <row r="53" spans="1:20" ht="24" x14ac:dyDescent="0.25">
      <c r="A53" s="3">
        <v>50</v>
      </c>
      <c r="B53" s="3">
        <v>2023</v>
      </c>
      <c r="C53" s="3" t="s">
        <v>32</v>
      </c>
      <c r="D53" s="3" t="s">
        <v>1686</v>
      </c>
      <c r="E53" s="3" t="s">
        <v>1623</v>
      </c>
      <c r="F53" s="3" t="s">
        <v>1611</v>
      </c>
      <c r="G53" s="3" t="s">
        <v>1625</v>
      </c>
      <c r="H53" s="3" t="s">
        <v>154</v>
      </c>
      <c r="I53" s="3">
        <v>16</v>
      </c>
      <c r="J53" s="3">
        <v>1731.7</v>
      </c>
      <c r="K53" s="3" t="s">
        <v>1021</v>
      </c>
      <c r="L53" s="3">
        <v>875241</v>
      </c>
      <c r="M53" s="3">
        <v>161.66999999999999</v>
      </c>
      <c r="N53" s="3">
        <v>0.79800000000000004</v>
      </c>
      <c r="O53" s="3">
        <v>51.57</v>
      </c>
      <c r="P53" s="3">
        <v>698.44230000000005</v>
      </c>
      <c r="Q53" s="3">
        <v>8.3373000000000008</v>
      </c>
      <c r="R53" s="3">
        <v>706.77959999999996</v>
      </c>
      <c r="S53" s="3">
        <v>2582941</v>
      </c>
      <c r="T53" s="3" t="s">
        <v>1608</v>
      </c>
    </row>
    <row r="54" spans="1:20" x14ac:dyDescent="0.25">
      <c r="A54" s="2">
        <v>51</v>
      </c>
      <c r="B54" s="2">
        <v>2023</v>
      </c>
      <c r="C54" s="2" t="s">
        <v>39</v>
      </c>
      <c r="D54" s="2" t="s">
        <v>1687</v>
      </c>
      <c r="E54" s="2" t="s">
        <v>1642</v>
      </c>
      <c r="F54" s="2" t="s">
        <v>1654</v>
      </c>
      <c r="G54" s="2" t="s">
        <v>1607</v>
      </c>
      <c r="H54" s="2" t="s">
        <v>88</v>
      </c>
      <c r="I54" s="2">
        <v>17</v>
      </c>
      <c r="J54" s="2">
        <v>5053.7</v>
      </c>
      <c r="K54" s="2" t="s">
        <v>1021</v>
      </c>
      <c r="L54" s="2">
        <v>121710</v>
      </c>
      <c r="M54" s="2">
        <v>280.07</v>
      </c>
      <c r="N54" s="2">
        <v>0.53869999999999996</v>
      </c>
      <c r="O54" s="2">
        <v>61.57</v>
      </c>
      <c r="P54" s="2">
        <v>65.565200000000004</v>
      </c>
      <c r="Q54" s="2">
        <v>17.2439</v>
      </c>
      <c r="R54" s="2">
        <v>82.809100000000001</v>
      </c>
      <c r="S54" s="2">
        <v>2398666</v>
      </c>
      <c r="T54" s="2" t="s">
        <v>1621</v>
      </c>
    </row>
    <row r="55" spans="1:20" x14ac:dyDescent="0.25">
      <c r="A55" s="3">
        <v>52</v>
      </c>
      <c r="B55" s="3">
        <v>2023</v>
      </c>
      <c r="C55" s="3" t="s">
        <v>46</v>
      </c>
      <c r="D55" s="3" t="s">
        <v>1688</v>
      </c>
      <c r="E55" s="3" t="s">
        <v>1017</v>
      </c>
      <c r="F55" s="3" t="s">
        <v>1628</v>
      </c>
      <c r="G55" s="3" t="s">
        <v>1614</v>
      </c>
      <c r="H55" s="3" t="s">
        <v>204</v>
      </c>
      <c r="I55" s="3">
        <v>23</v>
      </c>
      <c r="J55" s="3">
        <v>8437.7000000000007</v>
      </c>
      <c r="K55" s="3" t="s">
        <v>1021</v>
      </c>
      <c r="L55" s="3">
        <v>955583.3</v>
      </c>
      <c r="M55" s="3">
        <v>472.74</v>
      </c>
      <c r="N55" s="3">
        <v>0.76680000000000004</v>
      </c>
      <c r="O55" s="3">
        <v>71.34</v>
      </c>
      <c r="P55" s="3">
        <v>732.74130000000002</v>
      </c>
      <c r="Q55" s="3">
        <v>33.725299999999997</v>
      </c>
      <c r="R55" s="3">
        <v>766.46659999999997</v>
      </c>
      <c r="S55" s="3">
        <v>4207387</v>
      </c>
      <c r="T55" s="3" t="s">
        <v>1608</v>
      </c>
    </row>
    <row r="56" spans="1:20" ht="24" x14ac:dyDescent="0.25">
      <c r="A56" s="2">
        <v>53</v>
      </c>
      <c r="B56" s="2">
        <v>2023</v>
      </c>
      <c r="C56" s="2" t="s">
        <v>22</v>
      </c>
      <c r="D56" s="2" t="s">
        <v>1689</v>
      </c>
      <c r="E56" s="2" t="s">
        <v>1627</v>
      </c>
      <c r="F56" s="2" t="s">
        <v>1613</v>
      </c>
      <c r="G56" s="2" t="s">
        <v>1625</v>
      </c>
      <c r="H56" s="2" t="s">
        <v>65</v>
      </c>
      <c r="I56" s="2">
        <v>20</v>
      </c>
      <c r="J56" s="2">
        <v>5623.3</v>
      </c>
      <c r="K56" s="2" t="s">
        <v>1021</v>
      </c>
      <c r="L56" s="2">
        <v>438236.3</v>
      </c>
      <c r="M56" s="2">
        <v>174.09</v>
      </c>
      <c r="N56" s="2">
        <v>0.36259999999999998</v>
      </c>
      <c r="O56" s="2">
        <v>60.97</v>
      </c>
      <c r="P56" s="2">
        <v>158.90450000000001</v>
      </c>
      <c r="Q56" s="2">
        <v>10.6143</v>
      </c>
      <c r="R56" s="2">
        <v>169.5188</v>
      </c>
      <c r="S56" s="2">
        <v>2357076</v>
      </c>
      <c r="T56" s="2" t="s">
        <v>1600</v>
      </c>
    </row>
    <row r="57" spans="1:20" x14ac:dyDescent="0.25">
      <c r="A57" s="3">
        <v>54</v>
      </c>
      <c r="B57" s="3">
        <v>2023</v>
      </c>
      <c r="C57" s="3" t="s">
        <v>32</v>
      </c>
      <c r="D57" s="3" t="s">
        <v>1690</v>
      </c>
      <c r="E57" s="3" t="s">
        <v>1610</v>
      </c>
      <c r="F57" s="3" t="s">
        <v>1668</v>
      </c>
      <c r="G57" s="3" t="s">
        <v>1161</v>
      </c>
      <c r="H57" s="3" t="s">
        <v>117</v>
      </c>
      <c r="I57" s="3">
        <v>11</v>
      </c>
      <c r="J57" s="3">
        <v>3886.3</v>
      </c>
      <c r="K57" s="3" t="s">
        <v>1021</v>
      </c>
      <c r="L57" s="3">
        <v>183110.6</v>
      </c>
      <c r="M57" s="3">
        <v>373.81</v>
      </c>
      <c r="N57" s="3">
        <v>0.3553</v>
      </c>
      <c r="O57" s="3">
        <v>63.26</v>
      </c>
      <c r="P57" s="3">
        <v>65.059200000000004</v>
      </c>
      <c r="Q57" s="3">
        <v>23.647200000000002</v>
      </c>
      <c r="R57" s="3">
        <v>88.706400000000002</v>
      </c>
      <c r="S57" s="3">
        <v>2653713</v>
      </c>
      <c r="T57" s="3" t="s">
        <v>1621</v>
      </c>
    </row>
    <row r="58" spans="1:20" x14ac:dyDescent="0.25">
      <c r="A58" s="2">
        <v>55</v>
      </c>
      <c r="B58" s="2">
        <v>2023</v>
      </c>
      <c r="C58" s="2" t="s">
        <v>39</v>
      </c>
      <c r="D58" s="2" t="s">
        <v>1691</v>
      </c>
      <c r="E58" s="2" t="s">
        <v>1619</v>
      </c>
      <c r="F58" s="2" t="s">
        <v>1637</v>
      </c>
      <c r="G58" s="2" t="s">
        <v>1649</v>
      </c>
      <c r="H58" s="2" t="s">
        <v>96</v>
      </c>
      <c r="I58" s="2">
        <v>23</v>
      </c>
      <c r="J58" s="2">
        <v>9166.5</v>
      </c>
      <c r="K58" s="2" t="s">
        <v>1021</v>
      </c>
      <c r="L58" s="2">
        <v>505279.4</v>
      </c>
      <c r="M58" s="2">
        <v>6.5</v>
      </c>
      <c r="N58" s="2">
        <v>0.48649999999999999</v>
      </c>
      <c r="O58" s="2">
        <v>69.42</v>
      </c>
      <c r="P58" s="2">
        <v>245.8184</v>
      </c>
      <c r="Q58" s="2">
        <v>0.45119999999999999</v>
      </c>
      <c r="R58" s="2">
        <v>246.2696</v>
      </c>
      <c r="S58" s="2">
        <v>3226287</v>
      </c>
      <c r="T58" s="2" t="s">
        <v>1608</v>
      </c>
    </row>
    <row r="59" spans="1:20" ht="24" x14ac:dyDescent="0.25">
      <c r="A59" s="3">
        <v>56</v>
      </c>
      <c r="B59" s="3">
        <v>2023</v>
      </c>
      <c r="C59" s="3" t="s">
        <v>46</v>
      </c>
      <c r="D59" s="3" t="s">
        <v>1692</v>
      </c>
      <c r="E59" s="3" t="s">
        <v>1642</v>
      </c>
      <c r="F59" s="3" t="s">
        <v>1611</v>
      </c>
      <c r="G59" s="3" t="s">
        <v>1614</v>
      </c>
      <c r="H59" s="3" t="s">
        <v>110</v>
      </c>
      <c r="I59" s="3">
        <v>16</v>
      </c>
      <c r="J59" s="3">
        <v>6290.2</v>
      </c>
      <c r="K59" s="3" t="s">
        <v>1021</v>
      </c>
      <c r="L59" s="3">
        <v>971285</v>
      </c>
      <c r="M59" s="3">
        <v>411.66</v>
      </c>
      <c r="N59" s="3">
        <v>0.78159999999999996</v>
      </c>
      <c r="O59" s="3">
        <v>77.83</v>
      </c>
      <c r="P59" s="3">
        <v>759.15639999999996</v>
      </c>
      <c r="Q59" s="3">
        <v>32.039499999999997</v>
      </c>
      <c r="R59" s="3">
        <v>791.19590000000005</v>
      </c>
      <c r="S59" s="3">
        <v>4986296</v>
      </c>
      <c r="T59" s="3" t="s">
        <v>1600</v>
      </c>
    </row>
    <row r="60" spans="1:20" x14ac:dyDescent="0.25">
      <c r="A60" s="2">
        <v>57</v>
      </c>
      <c r="B60" s="2">
        <v>2023</v>
      </c>
      <c r="C60" s="2" t="s">
        <v>22</v>
      </c>
      <c r="D60" s="2" t="s">
        <v>1693</v>
      </c>
      <c r="E60" s="2" t="s">
        <v>1605</v>
      </c>
      <c r="F60" s="2" t="s">
        <v>1645</v>
      </c>
      <c r="G60" s="2" t="s">
        <v>1635</v>
      </c>
      <c r="H60" s="2" t="s">
        <v>33</v>
      </c>
      <c r="I60" s="2">
        <v>4</v>
      </c>
      <c r="J60" s="2">
        <v>8093.6</v>
      </c>
      <c r="K60" s="2" t="s">
        <v>1021</v>
      </c>
      <c r="L60" s="2">
        <v>43002.6</v>
      </c>
      <c r="M60" s="2">
        <v>14.42</v>
      </c>
      <c r="N60" s="2">
        <v>0.79710000000000003</v>
      </c>
      <c r="O60" s="2">
        <v>54.6</v>
      </c>
      <c r="P60" s="2">
        <v>34.2774</v>
      </c>
      <c r="Q60" s="2">
        <v>0.7873</v>
      </c>
      <c r="R60" s="2">
        <v>35.064700000000002</v>
      </c>
      <c r="S60" s="2">
        <v>3694171</v>
      </c>
      <c r="T60" s="2" t="s">
        <v>1621</v>
      </c>
    </row>
    <row r="61" spans="1:20" x14ac:dyDescent="0.25">
      <c r="A61" s="3">
        <v>58</v>
      </c>
      <c r="B61" s="3">
        <v>2023</v>
      </c>
      <c r="C61" s="3" t="s">
        <v>32</v>
      </c>
      <c r="D61" s="3" t="s">
        <v>1694</v>
      </c>
      <c r="E61" s="3" t="s">
        <v>1632</v>
      </c>
      <c r="F61" s="3" t="s">
        <v>1639</v>
      </c>
      <c r="G61" s="3" t="s">
        <v>1649</v>
      </c>
      <c r="H61" s="3" t="s">
        <v>88</v>
      </c>
      <c r="I61" s="3">
        <v>22</v>
      </c>
      <c r="J61" s="3">
        <v>6411</v>
      </c>
      <c r="K61" s="3" t="s">
        <v>1021</v>
      </c>
      <c r="L61" s="3">
        <v>67013.8</v>
      </c>
      <c r="M61" s="3">
        <v>48.74</v>
      </c>
      <c r="N61" s="3">
        <v>0.622</v>
      </c>
      <c r="O61" s="3">
        <v>79.5</v>
      </c>
      <c r="P61" s="3">
        <v>41.682600000000001</v>
      </c>
      <c r="Q61" s="3">
        <v>3.8748</v>
      </c>
      <c r="R61" s="3">
        <v>45.557400000000001</v>
      </c>
      <c r="S61" s="3">
        <v>1011203</v>
      </c>
      <c r="T61" s="3" t="s">
        <v>1608</v>
      </c>
    </row>
    <row r="62" spans="1:20" ht="24" x14ac:dyDescent="0.25">
      <c r="A62" s="2">
        <v>59</v>
      </c>
      <c r="B62" s="2">
        <v>2023</v>
      </c>
      <c r="C62" s="2" t="s">
        <v>39</v>
      </c>
      <c r="D62" s="2" t="s">
        <v>1695</v>
      </c>
      <c r="E62" s="2" t="s">
        <v>1623</v>
      </c>
      <c r="F62" s="2" t="s">
        <v>1624</v>
      </c>
      <c r="G62" s="2" t="s">
        <v>1635</v>
      </c>
      <c r="H62" s="2" t="s">
        <v>65</v>
      </c>
      <c r="I62" s="2">
        <v>25</v>
      </c>
      <c r="J62" s="2">
        <v>9066.7000000000007</v>
      </c>
      <c r="K62" s="2" t="s">
        <v>1021</v>
      </c>
      <c r="L62" s="2">
        <v>588913.30000000005</v>
      </c>
      <c r="M62" s="2">
        <v>472.15</v>
      </c>
      <c r="N62" s="2">
        <v>0.60819999999999996</v>
      </c>
      <c r="O62" s="2">
        <v>78.22</v>
      </c>
      <c r="P62" s="2">
        <v>358.1771</v>
      </c>
      <c r="Q62" s="2">
        <v>36.931600000000003</v>
      </c>
      <c r="R62" s="2">
        <v>395.1087</v>
      </c>
      <c r="S62" s="2">
        <v>2045707</v>
      </c>
      <c r="T62" s="2" t="s">
        <v>1600</v>
      </c>
    </row>
    <row r="63" spans="1:20" ht="24" x14ac:dyDescent="0.25">
      <c r="A63" s="3">
        <v>60</v>
      </c>
      <c r="B63" s="3">
        <v>2023</v>
      </c>
      <c r="C63" s="3" t="s">
        <v>46</v>
      </c>
      <c r="D63" s="3" t="s">
        <v>1696</v>
      </c>
      <c r="E63" s="3" t="s">
        <v>1623</v>
      </c>
      <c r="F63" s="3" t="s">
        <v>1651</v>
      </c>
      <c r="G63" s="3" t="s">
        <v>1649</v>
      </c>
      <c r="H63" s="3" t="s">
        <v>117</v>
      </c>
      <c r="I63" s="3">
        <v>9</v>
      </c>
      <c r="J63" s="3">
        <v>7316.7</v>
      </c>
      <c r="K63" s="3" t="s">
        <v>1021</v>
      </c>
      <c r="L63" s="3">
        <v>88548.9</v>
      </c>
      <c r="M63" s="3">
        <v>221.7</v>
      </c>
      <c r="N63" s="3">
        <v>0.48780000000000001</v>
      </c>
      <c r="O63" s="3">
        <v>55.96</v>
      </c>
      <c r="P63" s="3">
        <v>43.194200000000002</v>
      </c>
      <c r="Q63" s="3">
        <v>12.4063</v>
      </c>
      <c r="R63" s="3">
        <v>55.600499999999997</v>
      </c>
      <c r="S63" s="3">
        <v>2552056</v>
      </c>
      <c r="T63" s="3" t="s">
        <v>1600</v>
      </c>
    </row>
    <row r="64" spans="1:20" x14ac:dyDescent="0.25">
      <c r="A64" s="2">
        <v>61</v>
      </c>
      <c r="B64" s="2">
        <v>2023</v>
      </c>
      <c r="C64" s="2" t="s">
        <v>22</v>
      </c>
      <c r="D64" s="2" t="s">
        <v>1697</v>
      </c>
      <c r="E64" s="2" t="s">
        <v>1619</v>
      </c>
      <c r="F64" s="2" t="s">
        <v>1673</v>
      </c>
      <c r="G64" s="2" t="s">
        <v>1617</v>
      </c>
      <c r="H64" s="2" t="s">
        <v>96</v>
      </c>
      <c r="I64" s="2">
        <v>3</v>
      </c>
      <c r="J64" s="2">
        <v>1265.4000000000001</v>
      </c>
      <c r="K64" s="2" t="s">
        <v>1021</v>
      </c>
      <c r="L64" s="2">
        <v>468921</v>
      </c>
      <c r="M64" s="2">
        <v>418.05</v>
      </c>
      <c r="N64" s="2">
        <v>0.39300000000000002</v>
      </c>
      <c r="O64" s="2">
        <v>77.91</v>
      </c>
      <c r="P64" s="2">
        <v>184.286</v>
      </c>
      <c r="Q64" s="2">
        <v>32.570300000000003</v>
      </c>
      <c r="R64" s="2">
        <v>216.8563</v>
      </c>
      <c r="S64" s="2">
        <v>486402</v>
      </c>
      <c r="T64" s="2" t="s">
        <v>1621</v>
      </c>
    </row>
    <row r="65" spans="1:20" ht="24" x14ac:dyDescent="0.25">
      <c r="A65" s="3">
        <v>62</v>
      </c>
      <c r="B65" s="3">
        <v>2023</v>
      </c>
      <c r="C65" s="3" t="s">
        <v>32</v>
      </c>
      <c r="D65" s="3" t="s">
        <v>1698</v>
      </c>
      <c r="E65" s="3" t="s">
        <v>1619</v>
      </c>
      <c r="F65" s="3" t="s">
        <v>1673</v>
      </c>
      <c r="G65" s="3" t="s">
        <v>1629</v>
      </c>
      <c r="H65" s="3" t="s">
        <v>117</v>
      </c>
      <c r="I65" s="3">
        <v>22</v>
      </c>
      <c r="J65" s="3">
        <v>5952.4</v>
      </c>
      <c r="K65" s="3" t="s">
        <v>1021</v>
      </c>
      <c r="L65" s="3">
        <v>965936.8</v>
      </c>
      <c r="M65" s="3">
        <v>383.36</v>
      </c>
      <c r="N65" s="3">
        <v>0.74439999999999995</v>
      </c>
      <c r="O65" s="3">
        <v>56.53</v>
      </c>
      <c r="P65" s="3">
        <v>719.04340000000002</v>
      </c>
      <c r="Q65" s="3">
        <v>21.671299999999999</v>
      </c>
      <c r="R65" s="3">
        <v>740.71469999999999</v>
      </c>
      <c r="S65" s="3">
        <v>1903921</v>
      </c>
      <c r="T65" s="3" t="s">
        <v>1600</v>
      </c>
    </row>
    <row r="66" spans="1:20" x14ac:dyDescent="0.25">
      <c r="A66" s="2">
        <v>63</v>
      </c>
      <c r="B66" s="2">
        <v>2023</v>
      </c>
      <c r="C66" s="2" t="s">
        <v>39</v>
      </c>
      <c r="D66" s="2" t="s">
        <v>1699</v>
      </c>
      <c r="E66" s="2" t="s">
        <v>1610</v>
      </c>
      <c r="F66" s="2" t="s">
        <v>1599</v>
      </c>
      <c r="G66" s="2" t="s">
        <v>909</v>
      </c>
      <c r="H66" s="2" t="s">
        <v>33</v>
      </c>
      <c r="I66" s="2">
        <v>8</v>
      </c>
      <c r="J66" s="2">
        <v>7499.3</v>
      </c>
      <c r="K66" s="2" t="s">
        <v>1021</v>
      </c>
      <c r="L66" s="2">
        <v>739419.9</v>
      </c>
      <c r="M66" s="2">
        <v>155.24</v>
      </c>
      <c r="N66" s="2">
        <v>0.53969999999999996</v>
      </c>
      <c r="O66" s="2">
        <v>58.61</v>
      </c>
      <c r="P66" s="2">
        <v>399.06490000000002</v>
      </c>
      <c r="Q66" s="2">
        <v>9.0985999999999994</v>
      </c>
      <c r="R66" s="2">
        <v>408.1635</v>
      </c>
      <c r="S66" s="2">
        <v>1430869</v>
      </c>
      <c r="T66" s="2" t="s">
        <v>1621</v>
      </c>
    </row>
    <row r="67" spans="1:20" ht="24" x14ac:dyDescent="0.25">
      <c r="A67" s="3">
        <v>64</v>
      </c>
      <c r="B67" s="3">
        <v>2023</v>
      </c>
      <c r="C67" s="3" t="s">
        <v>46</v>
      </c>
      <c r="D67" s="3" t="s">
        <v>1700</v>
      </c>
      <c r="E67" s="3" t="s">
        <v>1642</v>
      </c>
      <c r="F67" s="3" t="s">
        <v>1599</v>
      </c>
      <c r="G67" s="3" t="s">
        <v>909</v>
      </c>
      <c r="H67" s="3" t="s">
        <v>88</v>
      </c>
      <c r="I67" s="3">
        <v>25</v>
      </c>
      <c r="J67" s="3">
        <v>8847.2999999999993</v>
      </c>
      <c r="K67" s="3" t="s">
        <v>1021</v>
      </c>
      <c r="L67" s="3">
        <v>181226.5</v>
      </c>
      <c r="M67" s="3">
        <v>147.47</v>
      </c>
      <c r="N67" s="3">
        <v>0.69879999999999998</v>
      </c>
      <c r="O67" s="3">
        <v>57.94</v>
      </c>
      <c r="P67" s="3">
        <v>126.64109999999999</v>
      </c>
      <c r="Q67" s="3">
        <v>8.5443999999999996</v>
      </c>
      <c r="R67" s="3">
        <v>135.18549999999999</v>
      </c>
      <c r="S67" s="3">
        <v>2474934</v>
      </c>
      <c r="T67" s="3" t="s">
        <v>1600</v>
      </c>
    </row>
    <row r="68" spans="1:20" x14ac:dyDescent="0.25">
      <c r="A68" s="2">
        <v>65</v>
      </c>
      <c r="B68" s="2">
        <v>2023</v>
      </c>
      <c r="C68" s="2" t="s">
        <v>22</v>
      </c>
      <c r="D68" s="2" t="s">
        <v>1701</v>
      </c>
      <c r="E68" s="2" t="s">
        <v>1605</v>
      </c>
      <c r="F68" s="2" t="s">
        <v>1628</v>
      </c>
      <c r="G68" s="2" t="s">
        <v>1161</v>
      </c>
      <c r="H68" s="2" t="s">
        <v>65</v>
      </c>
      <c r="I68" s="2">
        <v>23</v>
      </c>
      <c r="J68" s="2">
        <v>4551.8</v>
      </c>
      <c r="K68" s="2" t="s">
        <v>1021</v>
      </c>
      <c r="L68" s="2">
        <v>632871.30000000005</v>
      </c>
      <c r="M68" s="2">
        <v>415.87</v>
      </c>
      <c r="N68" s="2">
        <v>0.36840000000000001</v>
      </c>
      <c r="O68" s="2">
        <v>75.040000000000006</v>
      </c>
      <c r="P68" s="2">
        <v>233.1498</v>
      </c>
      <c r="Q68" s="2">
        <v>31.206900000000001</v>
      </c>
      <c r="R68" s="2">
        <v>264.35669999999999</v>
      </c>
      <c r="S68" s="2">
        <v>1959119</v>
      </c>
      <c r="T68" s="2" t="s">
        <v>1608</v>
      </c>
    </row>
    <row r="69" spans="1:20" x14ac:dyDescent="0.25">
      <c r="A69" s="3">
        <v>66</v>
      </c>
      <c r="B69" s="3">
        <v>2023</v>
      </c>
      <c r="C69" s="3" t="s">
        <v>32</v>
      </c>
      <c r="D69" s="3" t="s">
        <v>1702</v>
      </c>
      <c r="E69" s="3" t="s">
        <v>1619</v>
      </c>
      <c r="F69" s="3" t="s">
        <v>1634</v>
      </c>
      <c r="G69" s="3" t="s">
        <v>1635</v>
      </c>
      <c r="H69" s="3" t="s">
        <v>139</v>
      </c>
      <c r="I69" s="3">
        <v>25</v>
      </c>
      <c r="J69" s="3">
        <v>6495.5</v>
      </c>
      <c r="K69" s="3" t="s">
        <v>1021</v>
      </c>
      <c r="L69" s="3">
        <v>683607.7</v>
      </c>
      <c r="M69" s="3">
        <v>144.34</v>
      </c>
      <c r="N69" s="3">
        <v>0.52110000000000001</v>
      </c>
      <c r="O69" s="3">
        <v>79.05</v>
      </c>
      <c r="P69" s="3">
        <v>356.22800000000001</v>
      </c>
      <c r="Q69" s="3">
        <v>11.4101</v>
      </c>
      <c r="R69" s="3">
        <v>367.63810000000001</v>
      </c>
      <c r="S69" s="3">
        <v>2780475</v>
      </c>
      <c r="T69" s="3" t="s">
        <v>1621</v>
      </c>
    </row>
    <row r="70" spans="1:20" ht="24" x14ac:dyDescent="0.25">
      <c r="A70" s="2">
        <v>67</v>
      </c>
      <c r="B70" s="2">
        <v>2023</v>
      </c>
      <c r="C70" s="2" t="s">
        <v>39</v>
      </c>
      <c r="D70" s="2" t="s">
        <v>1703</v>
      </c>
      <c r="E70" s="2" t="s">
        <v>1642</v>
      </c>
      <c r="F70" s="2" t="s">
        <v>1611</v>
      </c>
      <c r="G70" s="2" t="s">
        <v>1161</v>
      </c>
      <c r="H70" s="2" t="s">
        <v>88</v>
      </c>
      <c r="I70" s="2">
        <v>12</v>
      </c>
      <c r="J70" s="2">
        <v>2260.6999999999998</v>
      </c>
      <c r="K70" s="2" t="s">
        <v>1021</v>
      </c>
      <c r="L70" s="2">
        <v>264541.7</v>
      </c>
      <c r="M70" s="2">
        <v>460.96</v>
      </c>
      <c r="N70" s="2">
        <v>0.60850000000000004</v>
      </c>
      <c r="O70" s="2">
        <v>68.930000000000007</v>
      </c>
      <c r="P70" s="2">
        <v>160.9736</v>
      </c>
      <c r="Q70" s="2">
        <v>31.774000000000001</v>
      </c>
      <c r="R70" s="2">
        <v>192.74760000000001</v>
      </c>
      <c r="S70" s="2">
        <v>2402289</v>
      </c>
      <c r="T70" s="2" t="s">
        <v>1600</v>
      </c>
    </row>
    <row r="71" spans="1:20" x14ac:dyDescent="0.25">
      <c r="A71" s="3">
        <v>68</v>
      </c>
      <c r="B71" s="3">
        <v>2023</v>
      </c>
      <c r="C71" s="3" t="s">
        <v>46</v>
      </c>
      <c r="D71" s="3" t="s">
        <v>1704</v>
      </c>
      <c r="E71" s="3" t="s">
        <v>1616</v>
      </c>
      <c r="F71" s="3" t="s">
        <v>1651</v>
      </c>
      <c r="G71" s="3" t="s">
        <v>1625</v>
      </c>
      <c r="H71" s="3" t="s">
        <v>204</v>
      </c>
      <c r="I71" s="3">
        <v>11</v>
      </c>
      <c r="J71" s="3">
        <v>6617.2</v>
      </c>
      <c r="K71" s="3" t="s">
        <v>1055</v>
      </c>
      <c r="L71" s="3">
        <v>901768.5</v>
      </c>
      <c r="M71" s="3">
        <v>161.19</v>
      </c>
      <c r="N71" s="3">
        <v>0.40229999999999999</v>
      </c>
      <c r="O71" s="3">
        <v>60.77</v>
      </c>
      <c r="P71" s="3">
        <v>362.78149999999999</v>
      </c>
      <c r="Q71" s="3">
        <v>9.7955000000000005</v>
      </c>
      <c r="R71" s="3">
        <v>372.577</v>
      </c>
      <c r="S71" s="3">
        <v>4510069</v>
      </c>
      <c r="T71" s="3" t="s">
        <v>1608</v>
      </c>
    </row>
    <row r="72" spans="1:20" ht="24" x14ac:dyDescent="0.25">
      <c r="A72" s="2">
        <v>69</v>
      </c>
      <c r="B72" s="2">
        <v>2023</v>
      </c>
      <c r="C72" s="2" t="s">
        <v>22</v>
      </c>
      <c r="D72" s="2" t="s">
        <v>1705</v>
      </c>
      <c r="E72" s="2" t="s">
        <v>1627</v>
      </c>
      <c r="F72" s="2" t="s">
        <v>1639</v>
      </c>
      <c r="G72" s="2" t="s">
        <v>1614</v>
      </c>
      <c r="H72" s="2" t="s">
        <v>58</v>
      </c>
      <c r="I72" s="2">
        <v>19</v>
      </c>
      <c r="J72" s="2">
        <v>1952.4</v>
      </c>
      <c r="K72" s="2" t="s">
        <v>1021</v>
      </c>
      <c r="L72" s="2">
        <v>361214.5</v>
      </c>
      <c r="M72" s="2">
        <v>81.37</v>
      </c>
      <c r="N72" s="2">
        <v>0.62339999999999995</v>
      </c>
      <c r="O72" s="2">
        <v>72.56</v>
      </c>
      <c r="P72" s="2">
        <v>225.18109999999999</v>
      </c>
      <c r="Q72" s="2">
        <v>5.9042000000000003</v>
      </c>
      <c r="R72" s="2">
        <v>231.08529999999999</v>
      </c>
      <c r="S72" s="2">
        <v>2223093</v>
      </c>
      <c r="T72" s="2" t="s">
        <v>1600</v>
      </c>
    </row>
    <row r="73" spans="1:20" ht="24" x14ac:dyDescent="0.25">
      <c r="A73" s="3">
        <v>70</v>
      </c>
      <c r="B73" s="3">
        <v>2023</v>
      </c>
      <c r="C73" s="3" t="s">
        <v>32</v>
      </c>
      <c r="D73" s="3" t="s">
        <v>1706</v>
      </c>
      <c r="E73" s="3" t="s">
        <v>1616</v>
      </c>
      <c r="F73" s="3" t="s">
        <v>1637</v>
      </c>
      <c r="G73" s="3" t="s">
        <v>1646</v>
      </c>
      <c r="H73" s="3" t="s">
        <v>120</v>
      </c>
      <c r="I73" s="3">
        <v>8</v>
      </c>
      <c r="J73" s="3">
        <v>7336.5</v>
      </c>
      <c r="K73" s="3" t="s">
        <v>1055</v>
      </c>
      <c r="L73" s="3">
        <v>476204.2</v>
      </c>
      <c r="M73" s="3">
        <v>121.79</v>
      </c>
      <c r="N73" s="3">
        <v>0.7117</v>
      </c>
      <c r="O73" s="3">
        <v>68.03</v>
      </c>
      <c r="P73" s="3">
        <v>338.91449999999998</v>
      </c>
      <c r="Q73" s="3">
        <v>8.2853999999999992</v>
      </c>
      <c r="R73" s="3">
        <v>347.19990000000001</v>
      </c>
      <c r="S73" s="3">
        <v>2438660</v>
      </c>
      <c r="T73" s="3" t="s">
        <v>1600</v>
      </c>
    </row>
    <row r="74" spans="1:20" x14ac:dyDescent="0.25">
      <c r="A74" s="2">
        <v>71</v>
      </c>
      <c r="B74" s="2">
        <v>2023</v>
      </c>
      <c r="C74" s="2" t="s">
        <v>39</v>
      </c>
      <c r="D74" s="2" t="s">
        <v>1707</v>
      </c>
      <c r="E74" s="2" t="s">
        <v>1627</v>
      </c>
      <c r="F74" s="2" t="s">
        <v>1654</v>
      </c>
      <c r="G74" s="2" t="s">
        <v>1161</v>
      </c>
      <c r="H74" s="2" t="s">
        <v>96</v>
      </c>
      <c r="I74" s="2">
        <v>17</v>
      </c>
      <c r="J74" s="2">
        <v>4267.8</v>
      </c>
      <c r="K74" s="2" t="s">
        <v>1021</v>
      </c>
      <c r="L74" s="2">
        <v>775202.1</v>
      </c>
      <c r="M74" s="2">
        <v>476.99</v>
      </c>
      <c r="N74" s="2">
        <v>0.5504</v>
      </c>
      <c r="O74" s="2">
        <v>50.86</v>
      </c>
      <c r="P74" s="2">
        <v>426.6712</v>
      </c>
      <c r="Q74" s="2">
        <v>24.259699999999999</v>
      </c>
      <c r="R74" s="2">
        <v>450.93090000000001</v>
      </c>
      <c r="S74" s="2">
        <v>2585412</v>
      </c>
      <c r="T74" s="2" t="s">
        <v>1621</v>
      </c>
    </row>
    <row r="75" spans="1:20" x14ac:dyDescent="0.25">
      <c r="A75" s="3">
        <v>72</v>
      </c>
      <c r="B75" s="3">
        <v>2023</v>
      </c>
      <c r="C75" s="3" t="s">
        <v>46</v>
      </c>
      <c r="D75" s="3" t="s">
        <v>1708</v>
      </c>
      <c r="E75" s="3" t="s">
        <v>1017</v>
      </c>
      <c r="F75" s="3" t="s">
        <v>1645</v>
      </c>
      <c r="G75" s="3" t="s">
        <v>909</v>
      </c>
      <c r="H75" s="3" t="s">
        <v>204</v>
      </c>
      <c r="I75" s="3">
        <v>13</v>
      </c>
      <c r="J75" s="3">
        <v>7543.3</v>
      </c>
      <c r="K75" s="3" t="s">
        <v>1021</v>
      </c>
      <c r="L75" s="3">
        <v>134241.4</v>
      </c>
      <c r="M75" s="3">
        <v>166.57</v>
      </c>
      <c r="N75" s="3">
        <v>0.83</v>
      </c>
      <c r="O75" s="3">
        <v>79.11</v>
      </c>
      <c r="P75" s="3">
        <v>111.4204</v>
      </c>
      <c r="Q75" s="3">
        <v>13.1774</v>
      </c>
      <c r="R75" s="3">
        <v>124.59780000000001</v>
      </c>
      <c r="S75" s="3">
        <v>1580904</v>
      </c>
      <c r="T75" s="3" t="s">
        <v>1621</v>
      </c>
    </row>
    <row r="76" spans="1:20" x14ac:dyDescent="0.25">
      <c r="A76" s="2">
        <v>73</v>
      </c>
      <c r="B76" s="2">
        <v>2023</v>
      </c>
      <c r="C76" s="2" t="s">
        <v>22</v>
      </c>
      <c r="D76" s="2" t="s">
        <v>1709</v>
      </c>
      <c r="E76" s="2" t="s">
        <v>1632</v>
      </c>
      <c r="F76" s="2" t="s">
        <v>1620</v>
      </c>
      <c r="G76" s="2" t="s">
        <v>1625</v>
      </c>
      <c r="H76" s="2" t="s">
        <v>24</v>
      </c>
      <c r="I76" s="2">
        <v>24</v>
      </c>
      <c r="J76" s="2">
        <v>108.3</v>
      </c>
      <c r="K76" s="2" t="s">
        <v>1021</v>
      </c>
      <c r="L76" s="2">
        <v>151753.60000000001</v>
      </c>
      <c r="M76" s="2">
        <v>441.48</v>
      </c>
      <c r="N76" s="2">
        <v>0.50060000000000004</v>
      </c>
      <c r="O76" s="2">
        <v>52.41</v>
      </c>
      <c r="P76" s="2">
        <v>75.9679</v>
      </c>
      <c r="Q76" s="2">
        <v>23.138000000000002</v>
      </c>
      <c r="R76" s="2">
        <v>99.105900000000005</v>
      </c>
      <c r="S76" s="2">
        <v>1219109</v>
      </c>
      <c r="T76" s="2" t="s">
        <v>1621</v>
      </c>
    </row>
    <row r="77" spans="1:20" ht="24" x14ac:dyDescent="0.25">
      <c r="A77" s="3">
        <v>74</v>
      </c>
      <c r="B77" s="3">
        <v>2023</v>
      </c>
      <c r="C77" s="3" t="s">
        <v>32</v>
      </c>
      <c r="D77" s="3" t="s">
        <v>1710</v>
      </c>
      <c r="E77" s="3" t="s">
        <v>1623</v>
      </c>
      <c r="F77" s="3" t="s">
        <v>1637</v>
      </c>
      <c r="G77" s="3" t="s">
        <v>1629</v>
      </c>
      <c r="H77" s="3" t="s">
        <v>70</v>
      </c>
      <c r="I77" s="3">
        <v>16</v>
      </c>
      <c r="J77" s="3">
        <v>6878.7</v>
      </c>
      <c r="K77" s="3" t="s">
        <v>1021</v>
      </c>
      <c r="L77" s="3">
        <v>846440.1</v>
      </c>
      <c r="M77" s="3">
        <v>187.13</v>
      </c>
      <c r="N77" s="3">
        <v>0.5887</v>
      </c>
      <c r="O77" s="3">
        <v>60.34</v>
      </c>
      <c r="P77" s="3">
        <v>498.29930000000002</v>
      </c>
      <c r="Q77" s="3">
        <v>11.291399999999999</v>
      </c>
      <c r="R77" s="3">
        <v>509.59070000000003</v>
      </c>
      <c r="S77" s="3">
        <v>2380463</v>
      </c>
      <c r="T77" s="3" t="s">
        <v>1600</v>
      </c>
    </row>
    <row r="78" spans="1:20" x14ac:dyDescent="0.25">
      <c r="A78" s="2">
        <v>75</v>
      </c>
      <c r="B78" s="2">
        <v>2023</v>
      </c>
      <c r="C78" s="2" t="s">
        <v>39</v>
      </c>
      <c r="D78" s="2" t="s">
        <v>1711</v>
      </c>
      <c r="E78" s="2" t="s">
        <v>1616</v>
      </c>
      <c r="F78" s="2" t="s">
        <v>1645</v>
      </c>
      <c r="G78" s="2" t="s">
        <v>1625</v>
      </c>
      <c r="H78" s="2" t="s">
        <v>92</v>
      </c>
      <c r="I78" s="2">
        <v>11</v>
      </c>
      <c r="J78" s="2">
        <v>8330.2999999999993</v>
      </c>
      <c r="K78" s="2" t="s">
        <v>1055</v>
      </c>
      <c r="L78" s="2">
        <v>707693</v>
      </c>
      <c r="M78" s="2">
        <v>381.53</v>
      </c>
      <c r="N78" s="2">
        <v>0.39789999999999998</v>
      </c>
      <c r="O78" s="2">
        <v>53.86</v>
      </c>
      <c r="P78" s="2">
        <v>281.59100000000001</v>
      </c>
      <c r="Q78" s="2">
        <v>20.549199999999999</v>
      </c>
      <c r="R78" s="2">
        <v>302.14019999999999</v>
      </c>
      <c r="S78" s="2">
        <v>3827069</v>
      </c>
      <c r="T78" s="2" t="s">
        <v>1608</v>
      </c>
    </row>
    <row r="79" spans="1:20" x14ac:dyDescent="0.25">
      <c r="A79" s="3">
        <v>76</v>
      </c>
      <c r="B79" s="3">
        <v>2023</v>
      </c>
      <c r="C79" s="3" t="s">
        <v>46</v>
      </c>
      <c r="D79" s="3" t="s">
        <v>1712</v>
      </c>
      <c r="E79" s="3" t="s">
        <v>1616</v>
      </c>
      <c r="F79" s="3" t="s">
        <v>1639</v>
      </c>
      <c r="G79" s="3" t="s">
        <v>1617</v>
      </c>
      <c r="H79" s="3" t="s">
        <v>92</v>
      </c>
      <c r="I79" s="3">
        <v>8</v>
      </c>
      <c r="J79" s="3">
        <v>6009.7</v>
      </c>
      <c r="K79" s="3" t="s">
        <v>1055</v>
      </c>
      <c r="L79" s="3">
        <v>536444.6</v>
      </c>
      <c r="M79" s="3">
        <v>173.43</v>
      </c>
      <c r="N79" s="3">
        <v>0.68489999999999995</v>
      </c>
      <c r="O79" s="3">
        <v>79.11</v>
      </c>
      <c r="P79" s="3">
        <v>367.41090000000003</v>
      </c>
      <c r="Q79" s="3">
        <v>13.72</v>
      </c>
      <c r="R79" s="3">
        <v>381.1309</v>
      </c>
      <c r="S79" s="3">
        <v>183137</v>
      </c>
      <c r="T79" s="3" t="s">
        <v>1608</v>
      </c>
    </row>
    <row r="80" spans="1:20" x14ac:dyDescent="0.25">
      <c r="A80" s="2">
        <v>77</v>
      </c>
      <c r="B80" s="2">
        <v>2023</v>
      </c>
      <c r="C80" s="2" t="s">
        <v>22</v>
      </c>
      <c r="D80" s="2" t="s">
        <v>1713</v>
      </c>
      <c r="E80" s="2" t="s">
        <v>1619</v>
      </c>
      <c r="F80" s="2" t="s">
        <v>1645</v>
      </c>
      <c r="G80" s="2" t="s">
        <v>1614</v>
      </c>
      <c r="H80" s="2" t="s">
        <v>65</v>
      </c>
      <c r="I80" s="2">
        <v>2</v>
      </c>
      <c r="J80" s="2">
        <v>3464.5</v>
      </c>
      <c r="K80" s="2" t="s">
        <v>1021</v>
      </c>
      <c r="L80" s="2">
        <v>824122</v>
      </c>
      <c r="M80" s="2">
        <v>305.27999999999997</v>
      </c>
      <c r="N80" s="2">
        <v>0.7258</v>
      </c>
      <c r="O80" s="2">
        <v>77.44</v>
      </c>
      <c r="P80" s="2">
        <v>598.14769999999999</v>
      </c>
      <c r="Q80" s="2">
        <v>23.640899999999998</v>
      </c>
      <c r="R80" s="2">
        <v>621.78859999999997</v>
      </c>
      <c r="S80" s="2">
        <v>3245607</v>
      </c>
      <c r="T80" s="2" t="s">
        <v>1621</v>
      </c>
    </row>
    <row r="81" spans="1:20" x14ac:dyDescent="0.25">
      <c r="A81" s="3">
        <v>78</v>
      </c>
      <c r="B81" s="3">
        <v>2023</v>
      </c>
      <c r="C81" s="3" t="s">
        <v>32</v>
      </c>
      <c r="D81" s="3" t="s">
        <v>1714</v>
      </c>
      <c r="E81" s="3" t="s">
        <v>1642</v>
      </c>
      <c r="F81" s="3" t="s">
        <v>1657</v>
      </c>
      <c r="G81" s="3" t="s">
        <v>1649</v>
      </c>
      <c r="H81" s="3" t="s">
        <v>117</v>
      </c>
      <c r="I81" s="3">
        <v>14</v>
      </c>
      <c r="J81" s="3">
        <v>4410.5</v>
      </c>
      <c r="K81" s="3" t="s">
        <v>1021</v>
      </c>
      <c r="L81" s="3">
        <v>342888.7</v>
      </c>
      <c r="M81" s="3">
        <v>327.02</v>
      </c>
      <c r="N81" s="3">
        <v>0.56289999999999996</v>
      </c>
      <c r="O81" s="3">
        <v>58.55</v>
      </c>
      <c r="P81" s="3">
        <v>193.012</v>
      </c>
      <c r="Q81" s="3">
        <v>19.146999999999998</v>
      </c>
      <c r="R81" s="3">
        <v>212.15899999999999</v>
      </c>
      <c r="S81" s="3">
        <v>1964737</v>
      </c>
      <c r="T81" s="3" t="s">
        <v>1621</v>
      </c>
    </row>
    <row r="82" spans="1:20" ht="24" x14ac:dyDescent="0.25">
      <c r="A82" s="2">
        <v>79</v>
      </c>
      <c r="B82" s="2">
        <v>2023</v>
      </c>
      <c r="C82" s="2" t="s">
        <v>39</v>
      </c>
      <c r="D82" s="2" t="s">
        <v>1715</v>
      </c>
      <c r="E82" s="2" t="s">
        <v>1623</v>
      </c>
      <c r="F82" s="2" t="s">
        <v>1637</v>
      </c>
      <c r="G82" s="2" t="s">
        <v>1649</v>
      </c>
      <c r="H82" s="2" t="s">
        <v>110</v>
      </c>
      <c r="I82" s="2">
        <v>11</v>
      </c>
      <c r="J82" s="2">
        <v>4042.3</v>
      </c>
      <c r="K82" s="2" t="s">
        <v>1021</v>
      </c>
      <c r="L82" s="2">
        <v>519761.8</v>
      </c>
      <c r="M82" s="2">
        <v>53.22</v>
      </c>
      <c r="N82" s="2">
        <v>0.75309999999999999</v>
      </c>
      <c r="O82" s="2">
        <v>60.39</v>
      </c>
      <c r="P82" s="2">
        <v>391.43259999999998</v>
      </c>
      <c r="Q82" s="2">
        <v>3.214</v>
      </c>
      <c r="R82" s="2">
        <v>394.64659999999998</v>
      </c>
      <c r="S82" s="2">
        <v>3676720</v>
      </c>
      <c r="T82" s="2" t="s">
        <v>1621</v>
      </c>
    </row>
    <row r="83" spans="1:20" ht="24" x14ac:dyDescent="0.25">
      <c r="A83" s="3">
        <v>80</v>
      </c>
      <c r="B83" s="3">
        <v>2023</v>
      </c>
      <c r="C83" s="3" t="s">
        <v>46</v>
      </c>
      <c r="D83" s="3" t="s">
        <v>1716</v>
      </c>
      <c r="E83" s="3" t="s">
        <v>1017</v>
      </c>
      <c r="F83" s="3" t="s">
        <v>1624</v>
      </c>
      <c r="G83" s="3" t="s">
        <v>1646</v>
      </c>
      <c r="H83" s="3" t="s">
        <v>33</v>
      </c>
      <c r="I83" s="3">
        <v>9</v>
      </c>
      <c r="J83" s="3">
        <v>5119</v>
      </c>
      <c r="K83" s="3" t="s">
        <v>1021</v>
      </c>
      <c r="L83" s="3">
        <v>687867.2</v>
      </c>
      <c r="M83" s="3">
        <v>5.79</v>
      </c>
      <c r="N83" s="3">
        <v>0.67689999999999995</v>
      </c>
      <c r="O83" s="3">
        <v>70.11</v>
      </c>
      <c r="P83" s="3">
        <v>465.6173</v>
      </c>
      <c r="Q83" s="3">
        <v>0.40589999999999998</v>
      </c>
      <c r="R83" s="3">
        <v>466.02319999999997</v>
      </c>
      <c r="S83" s="3">
        <v>2141162</v>
      </c>
      <c r="T83" s="3" t="s">
        <v>1600</v>
      </c>
    </row>
    <row r="84" spans="1:20" x14ac:dyDescent="0.25">
      <c r="A84" s="2">
        <v>81</v>
      </c>
      <c r="B84" s="2">
        <v>2023</v>
      </c>
      <c r="C84" s="2" t="s">
        <v>22</v>
      </c>
      <c r="D84" s="2" t="s">
        <v>1717</v>
      </c>
      <c r="E84" s="2" t="s">
        <v>1627</v>
      </c>
      <c r="F84" s="2" t="s">
        <v>1628</v>
      </c>
      <c r="G84" s="2" t="s">
        <v>909</v>
      </c>
      <c r="H84" s="2" t="s">
        <v>24</v>
      </c>
      <c r="I84" s="2">
        <v>6</v>
      </c>
      <c r="J84" s="2">
        <v>6076</v>
      </c>
      <c r="K84" s="2" t="s">
        <v>1021</v>
      </c>
      <c r="L84" s="2">
        <v>803406.3</v>
      </c>
      <c r="M84" s="2">
        <v>225.13</v>
      </c>
      <c r="N84" s="2">
        <v>0.53639999999999999</v>
      </c>
      <c r="O84" s="2">
        <v>64.209999999999994</v>
      </c>
      <c r="P84" s="2">
        <v>430.94709999999998</v>
      </c>
      <c r="Q84" s="2">
        <v>14.4556</v>
      </c>
      <c r="R84" s="2">
        <v>445.40269999999998</v>
      </c>
      <c r="S84" s="2">
        <v>1708564</v>
      </c>
      <c r="T84" s="2" t="s">
        <v>1608</v>
      </c>
    </row>
    <row r="85" spans="1:20" ht="24" x14ac:dyDescent="0.25">
      <c r="A85" s="3">
        <v>82</v>
      </c>
      <c r="B85" s="3">
        <v>2023</v>
      </c>
      <c r="C85" s="3" t="s">
        <v>32</v>
      </c>
      <c r="D85" s="3" t="s">
        <v>1718</v>
      </c>
      <c r="E85" s="3" t="s">
        <v>1605</v>
      </c>
      <c r="F85" s="3" t="s">
        <v>1634</v>
      </c>
      <c r="G85" s="3" t="s">
        <v>1629</v>
      </c>
      <c r="H85" s="3" t="s">
        <v>139</v>
      </c>
      <c r="I85" s="3">
        <v>20</v>
      </c>
      <c r="J85" s="3">
        <v>7620.1</v>
      </c>
      <c r="K85" s="3" t="s">
        <v>1021</v>
      </c>
      <c r="L85" s="3">
        <v>870962.7</v>
      </c>
      <c r="M85" s="3">
        <v>40</v>
      </c>
      <c r="N85" s="3">
        <v>0.35349999999999998</v>
      </c>
      <c r="O85" s="3">
        <v>78.45</v>
      </c>
      <c r="P85" s="3">
        <v>307.88529999999997</v>
      </c>
      <c r="Q85" s="3">
        <v>3.1379999999999999</v>
      </c>
      <c r="R85" s="3">
        <v>311.02330000000001</v>
      </c>
      <c r="S85" s="3">
        <v>3552445</v>
      </c>
      <c r="T85" s="3" t="s">
        <v>1600</v>
      </c>
    </row>
    <row r="86" spans="1:20" x14ac:dyDescent="0.25">
      <c r="A86" s="2">
        <v>83</v>
      </c>
      <c r="B86" s="2">
        <v>2023</v>
      </c>
      <c r="C86" s="2" t="s">
        <v>39</v>
      </c>
      <c r="D86" s="2" t="s">
        <v>1719</v>
      </c>
      <c r="E86" s="2" t="s">
        <v>1632</v>
      </c>
      <c r="F86" s="2" t="s">
        <v>1639</v>
      </c>
      <c r="G86" s="2" t="s">
        <v>909</v>
      </c>
      <c r="H86" s="2" t="s">
        <v>117</v>
      </c>
      <c r="I86" s="2">
        <v>14</v>
      </c>
      <c r="J86" s="2">
        <v>4405.3999999999996</v>
      </c>
      <c r="K86" s="2" t="s">
        <v>1021</v>
      </c>
      <c r="L86" s="2">
        <v>467439.4</v>
      </c>
      <c r="M86" s="2">
        <v>19.920000000000002</v>
      </c>
      <c r="N86" s="2">
        <v>0.78390000000000004</v>
      </c>
      <c r="O86" s="2">
        <v>63.81</v>
      </c>
      <c r="P86" s="2">
        <v>366.42570000000001</v>
      </c>
      <c r="Q86" s="2">
        <v>1.2710999999999999</v>
      </c>
      <c r="R86" s="2">
        <v>367.6968</v>
      </c>
      <c r="S86" s="2">
        <v>297864</v>
      </c>
      <c r="T86" s="2" t="s">
        <v>1608</v>
      </c>
    </row>
    <row r="87" spans="1:20" x14ac:dyDescent="0.25">
      <c r="A87" s="3">
        <v>84</v>
      </c>
      <c r="B87" s="3">
        <v>2023</v>
      </c>
      <c r="C87" s="3" t="s">
        <v>46</v>
      </c>
      <c r="D87" s="3" t="s">
        <v>1720</v>
      </c>
      <c r="E87" s="3" t="s">
        <v>1642</v>
      </c>
      <c r="F87" s="3" t="s">
        <v>1654</v>
      </c>
      <c r="G87" s="3" t="s">
        <v>1649</v>
      </c>
      <c r="H87" s="3" t="s">
        <v>58</v>
      </c>
      <c r="I87" s="3">
        <v>4</v>
      </c>
      <c r="J87" s="3">
        <v>7691.7</v>
      </c>
      <c r="K87" s="3" t="s">
        <v>1021</v>
      </c>
      <c r="L87" s="3">
        <v>28412.7</v>
      </c>
      <c r="M87" s="3">
        <v>133.62</v>
      </c>
      <c r="N87" s="3">
        <v>0.49659999999999999</v>
      </c>
      <c r="O87" s="3">
        <v>62.51</v>
      </c>
      <c r="P87" s="3">
        <v>14.1097</v>
      </c>
      <c r="Q87" s="3">
        <v>8.3526000000000007</v>
      </c>
      <c r="R87" s="3">
        <v>22.462299999999999</v>
      </c>
      <c r="S87" s="3">
        <v>2261512</v>
      </c>
      <c r="T87" s="3" t="s">
        <v>1608</v>
      </c>
    </row>
    <row r="88" spans="1:20" x14ac:dyDescent="0.25">
      <c r="A88" s="2">
        <v>85</v>
      </c>
      <c r="B88" s="2">
        <v>2023</v>
      </c>
      <c r="C88" s="2" t="s">
        <v>22</v>
      </c>
      <c r="D88" s="2" t="s">
        <v>1721</v>
      </c>
      <c r="E88" s="2" t="s">
        <v>1602</v>
      </c>
      <c r="F88" s="2" t="s">
        <v>1657</v>
      </c>
      <c r="G88" s="2" t="s">
        <v>1625</v>
      </c>
      <c r="H88" s="2" t="s">
        <v>70</v>
      </c>
      <c r="I88" s="2">
        <v>9</v>
      </c>
      <c r="J88" s="2">
        <v>5359.6</v>
      </c>
      <c r="K88" s="2" t="s">
        <v>1021</v>
      </c>
      <c r="L88" s="2">
        <v>399233.5</v>
      </c>
      <c r="M88" s="2">
        <v>87.62</v>
      </c>
      <c r="N88" s="2">
        <v>0.61750000000000005</v>
      </c>
      <c r="O88" s="2">
        <v>53.78</v>
      </c>
      <c r="P88" s="2">
        <v>246.52670000000001</v>
      </c>
      <c r="Q88" s="2">
        <v>4.7122000000000002</v>
      </c>
      <c r="R88" s="2">
        <v>251.2389</v>
      </c>
      <c r="S88" s="2">
        <v>765989</v>
      </c>
      <c r="T88" s="2" t="s">
        <v>1608</v>
      </c>
    </row>
    <row r="89" spans="1:20" x14ac:dyDescent="0.25">
      <c r="A89" s="3">
        <v>86</v>
      </c>
      <c r="B89" s="3">
        <v>2023</v>
      </c>
      <c r="C89" s="3" t="s">
        <v>32</v>
      </c>
      <c r="D89" s="3" t="s">
        <v>1722</v>
      </c>
      <c r="E89" s="3" t="s">
        <v>1632</v>
      </c>
      <c r="F89" s="3" t="s">
        <v>1611</v>
      </c>
      <c r="G89" s="3" t="s">
        <v>1649</v>
      </c>
      <c r="H89" s="3" t="s">
        <v>24</v>
      </c>
      <c r="I89" s="3">
        <v>11</v>
      </c>
      <c r="J89" s="3">
        <v>6921</v>
      </c>
      <c r="K89" s="3" t="s">
        <v>1021</v>
      </c>
      <c r="L89" s="3">
        <v>247880.2</v>
      </c>
      <c r="M89" s="3">
        <v>412.79</v>
      </c>
      <c r="N89" s="3">
        <v>0.76749999999999996</v>
      </c>
      <c r="O89" s="3">
        <v>71.98</v>
      </c>
      <c r="P89" s="3">
        <v>190.24809999999999</v>
      </c>
      <c r="Q89" s="3">
        <v>29.712599999999998</v>
      </c>
      <c r="R89" s="3">
        <v>219.9607</v>
      </c>
      <c r="S89" s="3">
        <v>2641616</v>
      </c>
      <c r="T89" s="3" t="s">
        <v>1608</v>
      </c>
    </row>
    <row r="90" spans="1:20" ht="24" x14ac:dyDescent="0.25">
      <c r="A90" s="2">
        <v>87</v>
      </c>
      <c r="B90" s="2">
        <v>2023</v>
      </c>
      <c r="C90" s="2" t="s">
        <v>39</v>
      </c>
      <c r="D90" s="2" t="s">
        <v>1723</v>
      </c>
      <c r="E90" s="2" t="s">
        <v>1602</v>
      </c>
      <c r="F90" s="2" t="s">
        <v>1673</v>
      </c>
      <c r="G90" s="2" t="s">
        <v>909</v>
      </c>
      <c r="H90" s="2" t="s">
        <v>70</v>
      </c>
      <c r="I90" s="2">
        <v>21</v>
      </c>
      <c r="J90" s="2">
        <v>1552.8</v>
      </c>
      <c r="K90" s="2" t="s">
        <v>1021</v>
      </c>
      <c r="L90" s="2">
        <v>976959.1</v>
      </c>
      <c r="M90" s="2">
        <v>318.91000000000003</v>
      </c>
      <c r="N90" s="2">
        <v>0.79100000000000004</v>
      </c>
      <c r="O90" s="2">
        <v>61.46</v>
      </c>
      <c r="P90" s="2">
        <v>772.77459999999996</v>
      </c>
      <c r="Q90" s="2">
        <v>19.600200000000001</v>
      </c>
      <c r="R90" s="2">
        <v>792.37480000000005</v>
      </c>
      <c r="S90" s="2">
        <v>4902319</v>
      </c>
      <c r="T90" s="2" t="s">
        <v>1600</v>
      </c>
    </row>
    <row r="91" spans="1:20" ht="24" x14ac:dyDescent="0.25">
      <c r="A91" s="3">
        <v>88</v>
      </c>
      <c r="B91" s="3">
        <v>2023</v>
      </c>
      <c r="C91" s="3" t="s">
        <v>46</v>
      </c>
      <c r="D91" s="3" t="s">
        <v>1724</v>
      </c>
      <c r="E91" s="3" t="s">
        <v>1642</v>
      </c>
      <c r="F91" s="3" t="s">
        <v>1725</v>
      </c>
      <c r="G91" s="3" t="s">
        <v>1635</v>
      </c>
      <c r="H91" s="3" t="s">
        <v>92</v>
      </c>
      <c r="I91" s="3">
        <v>7</v>
      </c>
      <c r="J91" s="3">
        <v>4283</v>
      </c>
      <c r="K91" s="3" t="s">
        <v>1021</v>
      </c>
      <c r="L91" s="3">
        <v>27271.599999999999</v>
      </c>
      <c r="M91" s="3">
        <v>475.18</v>
      </c>
      <c r="N91" s="3">
        <v>0.47839999999999999</v>
      </c>
      <c r="O91" s="3">
        <v>69.59</v>
      </c>
      <c r="P91" s="3">
        <v>13.0467</v>
      </c>
      <c r="Q91" s="3">
        <v>33.067799999999998</v>
      </c>
      <c r="R91" s="3">
        <v>46.1145</v>
      </c>
      <c r="S91" s="3">
        <v>4420481</v>
      </c>
      <c r="T91" s="3" t="s">
        <v>1600</v>
      </c>
    </row>
    <row r="92" spans="1:20" x14ac:dyDescent="0.25">
      <c r="A92" s="2">
        <v>89</v>
      </c>
      <c r="B92" s="2">
        <v>2023</v>
      </c>
      <c r="C92" s="2" t="s">
        <v>22</v>
      </c>
      <c r="D92" s="2" t="s">
        <v>1726</v>
      </c>
      <c r="E92" s="2" t="s">
        <v>1642</v>
      </c>
      <c r="F92" s="2" t="s">
        <v>1599</v>
      </c>
      <c r="G92" s="2" t="s">
        <v>1614</v>
      </c>
      <c r="H92" s="2" t="s">
        <v>65</v>
      </c>
      <c r="I92" s="2">
        <v>25</v>
      </c>
      <c r="J92" s="2">
        <v>9949.7000000000007</v>
      </c>
      <c r="K92" s="2" t="s">
        <v>1021</v>
      </c>
      <c r="L92" s="2">
        <v>617503.6</v>
      </c>
      <c r="M92" s="2">
        <v>269.58</v>
      </c>
      <c r="N92" s="2">
        <v>0.74690000000000001</v>
      </c>
      <c r="O92" s="2">
        <v>70.83</v>
      </c>
      <c r="P92" s="2">
        <v>461.21339999999998</v>
      </c>
      <c r="Q92" s="2">
        <v>19.0944</v>
      </c>
      <c r="R92" s="2">
        <v>480.30779999999999</v>
      </c>
      <c r="S92" s="2">
        <v>291715</v>
      </c>
      <c r="T92" s="2" t="s">
        <v>1608</v>
      </c>
    </row>
    <row r="93" spans="1:20" x14ac:dyDescent="0.25">
      <c r="A93" s="3">
        <v>90</v>
      </c>
      <c r="B93" s="3">
        <v>2023</v>
      </c>
      <c r="C93" s="3" t="s">
        <v>32</v>
      </c>
      <c r="D93" s="3" t="s">
        <v>1727</v>
      </c>
      <c r="E93" s="3" t="s">
        <v>1642</v>
      </c>
      <c r="F93" s="3" t="s">
        <v>1654</v>
      </c>
      <c r="G93" s="3" t="s">
        <v>1646</v>
      </c>
      <c r="H93" s="3" t="s">
        <v>120</v>
      </c>
      <c r="I93" s="3">
        <v>14</v>
      </c>
      <c r="J93" s="3">
        <v>7494</v>
      </c>
      <c r="K93" s="3" t="s">
        <v>1021</v>
      </c>
      <c r="L93" s="3">
        <v>779417.4</v>
      </c>
      <c r="M93" s="3">
        <v>138.43</v>
      </c>
      <c r="N93" s="3">
        <v>0.68569999999999998</v>
      </c>
      <c r="O93" s="3">
        <v>68.14</v>
      </c>
      <c r="P93" s="3">
        <v>534.44650000000001</v>
      </c>
      <c r="Q93" s="3">
        <v>9.4326000000000008</v>
      </c>
      <c r="R93" s="3">
        <v>543.87909999999999</v>
      </c>
      <c r="S93" s="3">
        <v>4553245</v>
      </c>
      <c r="T93" s="3" t="s">
        <v>1621</v>
      </c>
    </row>
    <row r="94" spans="1:20" ht="24" x14ac:dyDescent="0.25">
      <c r="A94" s="2">
        <v>91</v>
      </c>
      <c r="B94" s="2">
        <v>2023</v>
      </c>
      <c r="C94" s="2" t="s">
        <v>39</v>
      </c>
      <c r="D94" s="2" t="s">
        <v>1728</v>
      </c>
      <c r="E94" s="2" t="s">
        <v>1602</v>
      </c>
      <c r="F94" s="2" t="s">
        <v>1671</v>
      </c>
      <c r="G94" s="2" t="s">
        <v>1629</v>
      </c>
      <c r="H94" s="2" t="s">
        <v>65</v>
      </c>
      <c r="I94" s="2">
        <v>1</v>
      </c>
      <c r="J94" s="2">
        <v>7842.3</v>
      </c>
      <c r="K94" s="2" t="s">
        <v>1021</v>
      </c>
      <c r="L94" s="2">
        <v>658926.69999999995</v>
      </c>
      <c r="M94" s="2">
        <v>137.38</v>
      </c>
      <c r="N94" s="2">
        <v>0.58120000000000005</v>
      </c>
      <c r="O94" s="2">
        <v>73.709999999999994</v>
      </c>
      <c r="P94" s="2">
        <v>382.96820000000002</v>
      </c>
      <c r="Q94" s="2">
        <v>10.126300000000001</v>
      </c>
      <c r="R94" s="2">
        <v>393.09449999999998</v>
      </c>
      <c r="S94" s="2">
        <v>3192540</v>
      </c>
      <c r="T94" s="2" t="s">
        <v>1600</v>
      </c>
    </row>
    <row r="95" spans="1:20" x14ac:dyDescent="0.25">
      <c r="A95" s="3">
        <v>92</v>
      </c>
      <c r="B95" s="3">
        <v>2023</v>
      </c>
      <c r="C95" s="3" t="s">
        <v>46</v>
      </c>
      <c r="D95" s="3" t="s">
        <v>1729</v>
      </c>
      <c r="E95" s="3" t="s">
        <v>1619</v>
      </c>
      <c r="F95" s="3" t="s">
        <v>1639</v>
      </c>
      <c r="G95" s="3" t="s">
        <v>909</v>
      </c>
      <c r="H95" s="3" t="s">
        <v>139</v>
      </c>
      <c r="I95" s="3">
        <v>13</v>
      </c>
      <c r="J95" s="3">
        <v>2288.5</v>
      </c>
      <c r="K95" s="3" t="s">
        <v>1021</v>
      </c>
      <c r="L95" s="3">
        <v>613329.30000000005</v>
      </c>
      <c r="M95" s="3">
        <v>364.08</v>
      </c>
      <c r="N95" s="3">
        <v>0.65469999999999995</v>
      </c>
      <c r="O95" s="3">
        <v>63.82</v>
      </c>
      <c r="P95" s="3">
        <v>401.54669999999999</v>
      </c>
      <c r="Q95" s="3">
        <v>23.235600000000002</v>
      </c>
      <c r="R95" s="3">
        <v>424.78230000000002</v>
      </c>
      <c r="S95" s="3">
        <v>2132786</v>
      </c>
      <c r="T95" s="3" t="s">
        <v>1608</v>
      </c>
    </row>
    <row r="96" spans="1:20" ht="24" x14ac:dyDescent="0.25">
      <c r="A96" s="2">
        <v>93</v>
      </c>
      <c r="B96" s="2">
        <v>2023</v>
      </c>
      <c r="C96" s="2" t="s">
        <v>22</v>
      </c>
      <c r="D96" s="2" t="s">
        <v>1730</v>
      </c>
      <c r="E96" s="2" t="s">
        <v>1605</v>
      </c>
      <c r="F96" s="2" t="s">
        <v>1620</v>
      </c>
      <c r="G96" s="2" t="s">
        <v>1607</v>
      </c>
      <c r="H96" s="2" t="s">
        <v>96</v>
      </c>
      <c r="I96" s="2">
        <v>6</v>
      </c>
      <c r="J96" s="2">
        <v>224.4</v>
      </c>
      <c r="K96" s="2" t="s">
        <v>1021</v>
      </c>
      <c r="L96" s="2">
        <v>343893</v>
      </c>
      <c r="M96" s="2">
        <v>173.18</v>
      </c>
      <c r="N96" s="2">
        <v>0.57220000000000004</v>
      </c>
      <c r="O96" s="2">
        <v>63.86</v>
      </c>
      <c r="P96" s="2">
        <v>196.7756</v>
      </c>
      <c r="Q96" s="2">
        <v>11.0593</v>
      </c>
      <c r="R96" s="2">
        <v>207.8349</v>
      </c>
      <c r="S96" s="2">
        <v>3725727</v>
      </c>
      <c r="T96" s="2" t="s">
        <v>1600</v>
      </c>
    </row>
    <row r="97" spans="1:20" ht="24" x14ac:dyDescent="0.25">
      <c r="A97" s="3">
        <v>94</v>
      </c>
      <c r="B97" s="3">
        <v>2023</v>
      </c>
      <c r="C97" s="3" t="s">
        <v>32</v>
      </c>
      <c r="D97" s="3" t="s">
        <v>1731</v>
      </c>
      <c r="E97" s="3" t="s">
        <v>1616</v>
      </c>
      <c r="F97" s="3" t="s">
        <v>1613</v>
      </c>
      <c r="G97" s="3" t="s">
        <v>1635</v>
      </c>
      <c r="H97" s="3" t="s">
        <v>65</v>
      </c>
      <c r="I97" s="3">
        <v>24</v>
      </c>
      <c r="J97" s="3">
        <v>2631.4</v>
      </c>
      <c r="K97" s="3" t="s">
        <v>1055</v>
      </c>
      <c r="L97" s="3">
        <v>37105.199999999997</v>
      </c>
      <c r="M97" s="3">
        <v>426.15</v>
      </c>
      <c r="N97" s="3">
        <v>0.83389999999999997</v>
      </c>
      <c r="O97" s="3">
        <v>68.94</v>
      </c>
      <c r="P97" s="3">
        <v>30.942</v>
      </c>
      <c r="Q97" s="3">
        <v>29.378799999999998</v>
      </c>
      <c r="R97" s="3">
        <v>60.320799999999998</v>
      </c>
      <c r="S97" s="3">
        <v>2828562</v>
      </c>
      <c r="T97" s="3" t="s">
        <v>1600</v>
      </c>
    </row>
    <row r="98" spans="1:20" x14ac:dyDescent="0.25">
      <c r="A98" s="2">
        <v>95</v>
      </c>
      <c r="B98" s="2">
        <v>2023</v>
      </c>
      <c r="C98" s="2" t="s">
        <v>39</v>
      </c>
      <c r="D98" s="2" t="s">
        <v>1732</v>
      </c>
      <c r="E98" s="2" t="s">
        <v>1619</v>
      </c>
      <c r="F98" s="2" t="s">
        <v>1639</v>
      </c>
      <c r="G98" s="2" t="s">
        <v>909</v>
      </c>
      <c r="H98" s="2" t="s">
        <v>58</v>
      </c>
      <c r="I98" s="2">
        <v>14</v>
      </c>
      <c r="J98" s="2">
        <v>3109.9</v>
      </c>
      <c r="K98" s="2" t="s">
        <v>1021</v>
      </c>
      <c r="L98" s="2">
        <v>752103.2</v>
      </c>
      <c r="M98" s="2">
        <v>225.75</v>
      </c>
      <c r="N98" s="2">
        <v>0.5837</v>
      </c>
      <c r="O98" s="2">
        <v>54.68</v>
      </c>
      <c r="P98" s="2">
        <v>439.00259999999997</v>
      </c>
      <c r="Q98" s="2">
        <v>12.343999999999999</v>
      </c>
      <c r="R98" s="2">
        <v>451.34660000000002</v>
      </c>
      <c r="S98" s="2">
        <v>2945438</v>
      </c>
      <c r="T98" s="2" t="s">
        <v>1608</v>
      </c>
    </row>
    <row r="99" spans="1:20" x14ac:dyDescent="0.25">
      <c r="A99" s="3">
        <v>96</v>
      </c>
      <c r="B99" s="3">
        <v>2023</v>
      </c>
      <c r="C99" s="3" t="s">
        <v>46</v>
      </c>
      <c r="D99" s="3" t="s">
        <v>1733</v>
      </c>
      <c r="E99" s="3" t="s">
        <v>1602</v>
      </c>
      <c r="F99" s="3" t="s">
        <v>1637</v>
      </c>
      <c r="G99" s="3" t="s">
        <v>1161</v>
      </c>
      <c r="H99" s="3" t="s">
        <v>54</v>
      </c>
      <c r="I99" s="3">
        <v>4</v>
      </c>
      <c r="J99" s="3">
        <v>7538.7</v>
      </c>
      <c r="K99" s="3" t="s">
        <v>1021</v>
      </c>
      <c r="L99" s="3">
        <v>287468.2</v>
      </c>
      <c r="M99" s="3">
        <v>372.03</v>
      </c>
      <c r="N99" s="3">
        <v>0.8448</v>
      </c>
      <c r="O99" s="3">
        <v>61.26</v>
      </c>
      <c r="P99" s="3">
        <v>242.85310000000001</v>
      </c>
      <c r="Q99" s="3">
        <v>22.790600000000001</v>
      </c>
      <c r="R99" s="3">
        <v>265.64370000000002</v>
      </c>
      <c r="S99" s="3">
        <v>2711084</v>
      </c>
      <c r="T99" s="3" t="s">
        <v>1621</v>
      </c>
    </row>
    <row r="100" spans="1:20" x14ac:dyDescent="0.25">
      <c r="A100" s="2">
        <v>97</v>
      </c>
      <c r="B100" s="2">
        <v>2023</v>
      </c>
      <c r="C100" s="2" t="s">
        <v>22</v>
      </c>
      <c r="D100" s="2" t="s">
        <v>1734</v>
      </c>
      <c r="E100" s="2" t="s">
        <v>1616</v>
      </c>
      <c r="F100" s="2" t="s">
        <v>1637</v>
      </c>
      <c r="G100" s="2" t="s">
        <v>1607</v>
      </c>
      <c r="H100" s="2" t="s">
        <v>33</v>
      </c>
      <c r="I100" s="2">
        <v>12</v>
      </c>
      <c r="J100" s="2">
        <v>2261.1999999999998</v>
      </c>
      <c r="K100" s="2" t="s">
        <v>1055</v>
      </c>
      <c r="L100" s="2">
        <v>992170.3</v>
      </c>
      <c r="M100" s="2">
        <v>285.37</v>
      </c>
      <c r="N100" s="2">
        <v>0.43930000000000002</v>
      </c>
      <c r="O100" s="2">
        <v>54.77</v>
      </c>
      <c r="P100" s="2">
        <v>435.86040000000003</v>
      </c>
      <c r="Q100" s="2">
        <v>15.6297</v>
      </c>
      <c r="R100" s="2">
        <v>451.49009999999998</v>
      </c>
      <c r="S100" s="2">
        <v>3898747</v>
      </c>
      <c r="T100" s="2" t="s">
        <v>1621</v>
      </c>
    </row>
    <row r="101" spans="1:20" x14ac:dyDescent="0.25">
      <c r="A101" s="3">
        <v>98</v>
      </c>
      <c r="B101" s="3">
        <v>2023</v>
      </c>
      <c r="C101" s="3" t="s">
        <v>32</v>
      </c>
      <c r="D101" s="3" t="s">
        <v>1735</v>
      </c>
      <c r="E101" s="3" t="s">
        <v>1616</v>
      </c>
      <c r="F101" s="3" t="s">
        <v>1659</v>
      </c>
      <c r="G101" s="3" t="s">
        <v>1607</v>
      </c>
      <c r="H101" s="3" t="s">
        <v>139</v>
      </c>
      <c r="I101" s="3">
        <v>18</v>
      </c>
      <c r="J101" s="3">
        <v>9014.5</v>
      </c>
      <c r="K101" s="3" t="s">
        <v>1055</v>
      </c>
      <c r="L101" s="3">
        <v>282485.3</v>
      </c>
      <c r="M101" s="3">
        <v>385.25</v>
      </c>
      <c r="N101" s="3">
        <v>0.66510000000000002</v>
      </c>
      <c r="O101" s="3">
        <v>69.930000000000007</v>
      </c>
      <c r="P101" s="3">
        <v>187.881</v>
      </c>
      <c r="Q101" s="3">
        <v>26.9405</v>
      </c>
      <c r="R101" s="3">
        <v>214.82149999999999</v>
      </c>
      <c r="S101" s="3">
        <v>3449877</v>
      </c>
      <c r="T101" s="3" t="s">
        <v>1608</v>
      </c>
    </row>
    <row r="102" spans="1:20" ht="24" x14ac:dyDescent="0.25">
      <c r="A102" s="2">
        <v>99</v>
      </c>
      <c r="B102" s="2">
        <v>2023</v>
      </c>
      <c r="C102" s="2" t="s">
        <v>39</v>
      </c>
      <c r="D102" s="2" t="s">
        <v>1736</v>
      </c>
      <c r="E102" s="2" t="s">
        <v>1610</v>
      </c>
      <c r="F102" s="2" t="s">
        <v>1651</v>
      </c>
      <c r="G102" s="2" t="s">
        <v>1625</v>
      </c>
      <c r="H102" s="2" t="s">
        <v>117</v>
      </c>
      <c r="I102" s="2">
        <v>1</v>
      </c>
      <c r="J102" s="2">
        <v>8604.7000000000007</v>
      </c>
      <c r="K102" s="2" t="s">
        <v>1021</v>
      </c>
      <c r="L102" s="2">
        <v>497359</v>
      </c>
      <c r="M102" s="2">
        <v>231.96</v>
      </c>
      <c r="N102" s="2">
        <v>0.7631</v>
      </c>
      <c r="O102" s="2">
        <v>63.48</v>
      </c>
      <c r="P102" s="2">
        <v>379.53469999999999</v>
      </c>
      <c r="Q102" s="2">
        <v>14.7248</v>
      </c>
      <c r="R102" s="2">
        <v>394.2595</v>
      </c>
      <c r="S102" s="2">
        <v>4623357</v>
      </c>
      <c r="T102" s="2" t="s">
        <v>1600</v>
      </c>
    </row>
    <row r="103" spans="1:20" x14ac:dyDescent="0.25">
      <c r="A103" s="3">
        <v>100</v>
      </c>
      <c r="B103" s="3">
        <v>2023</v>
      </c>
      <c r="C103" s="3" t="s">
        <v>46</v>
      </c>
      <c r="D103" s="3" t="s">
        <v>1737</v>
      </c>
      <c r="E103" s="3" t="s">
        <v>1619</v>
      </c>
      <c r="F103" s="3" t="s">
        <v>1725</v>
      </c>
      <c r="G103" s="3" t="s">
        <v>1625</v>
      </c>
      <c r="H103" s="3" t="s">
        <v>65</v>
      </c>
      <c r="I103" s="3">
        <v>21</v>
      </c>
      <c r="J103" s="3">
        <v>7653.1</v>
      </c>
      <c r="K103" s="3" t="s">
        <v>1021</v>
      </c>
      <c r="L103" s="3">
        <v>657909.69999999995</v>
      </c>
      <c r="M103" s="3">
        <v>341.68</v>
      </c>
      <c r="N103" s="3">
        <v>0.3992</v>
      </c>
      <c r="O103" s="3">
        <v>67.400000000000006</v>
      </c>
      <c r="P103" s="3">
        <v>262.63760000000002</v>
      </c>
      <c r="Q103" s="3">
        <v>23.029199999999999</v>
      </c>
      <c r="R103" s="3">
        <v>285.66680000000002</v>
      </c>
      <c r="S103" s="3">
        <v>2119595</v>
      </c>
      <c r="T103" s="3" t="s">
        <v>1621</v>
      </c>
    </row>
  </sheetData>
  <autoFilter ref="A3:T3" xr:uid="{00000000-0009-0000-0000-00000C000000}"/>
  <mergeCells count="2">
    <mergeCell ref="A1:P1"/>
    <mergeCell ref="A2:P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9D18E"/>
  </sheetPr>
  <dimension ref="A1:T103"/>
  <sheetViews>
    <sheetView showGridLines="0"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20" width="18" customWidth="1"/>
  </cols>
  <sheetData>
    <row r="1" spans="1:20" ht="28.15" customHeight="1" x14ac:dyDescent="0.25">
      <c r="A1" s="27" t="s">
        <v>1738</v>
      </c>
      <c r="B1" s="28"/>
      <c r="C1" s="28"/>
      <c r="D1" s="28"/>
      <c r="E1" s="28"/>
      <c r="F1" s="28"/>
      <c r="G1" s="28"/>
      <c r="H1" s="28"/>
      <c r="I1" s="28"/>
      <c r="J1" s="28"/>
      <c r="K1" s="28"/>
      <c r="L1" s="28"/>
      <c r="M1" s="28"/>
      <c r="N1" s="28"/>
      <c r="O1" s="28"/>
      <c r="P1" s="28"/>
    </row>
    <row r="2" spans="1:20" ht="18" customHeight="1" x14ac:dyDescent="0.25">
      <c r="A2" s="29" t="s">
        <v>1</v>
      </c>
      <c r="B2" s="28"/>
      <c r="C2" s="28"/>
      <c r="D2" s="28"/>
      <c r="E2" s="28"/>
      <c r="F2" s="28"/>
      <c r="G2" s="28"/>
      <c r="H2" s="28"/>
      <c r="I2" s="28"/>
      <c r="J2" s="28"/>
      <c r="K2" s="28"/>
      <c r="L2" s="28"/>
      <c r="M2" s="28"/>
      <c r="N2" s="28"/>
      <c r="O2" s="28"/>
      <c r="P2" s="28"/>
    </row>
    <row r="3" spans="1:20" ht="38.25" x14ac:dyDescent="0.25">
      <c r="A3" s="1" t="s">
        <v>2</v>
      </c>
      <c r="B3" s="1" t="s">
        <v>3</v>
      </c>
      <c r="C3" s="1" t="s">
        <v>4</v>
      </c>
      <c r="D3" s="1" t="s">
        <v>1739</v>
      </c>
      <c r="E3" s="1" t="s">
        <v>1740</v>
      </c>
      <c r="F3" s="1" t="s">
        <v>1741</v>
      </c>
      <c r="G3" s="1" t="s">
        <v>490</v>
      </c>
      <c r="H3" s="1" t="s">
        <v>1742</v>
      </c>
      <c r="I3" s="1" t="s">
        <v>1743</v>
      </c>
      <c r="J3" s="1" t="s">
        <v>1744</v>
      </c>
      <c r="K3" s="1" t="s">
        <v>1745</v>
      </c>
      <c r="L3" s="1" t="s">
        <v>1746</v>
      </c>
      <c r="M3" s="1" t="s">
        <v>1747</v>
      </c>
      <c r="N3" s="1" t="s">
        <v>496</v>
      </c>
      <c r="O3" s="1" t="s">
        <v>1748</v>
      </c>
      <c r="P3" s="1" t="s">
        <v>1749</v>
      </c>
      <c r="Q3" s="1" t="s">
        <v>1750</v>
      </c>
      <c r="R3" s="1" t="s">
        <v>1751</v>
      </c>
      <c r="S3" s="1" t="s">
        <v>1752</v>
      </c>
      <c r="T3" s="1" t="s">
        <v>1753</v>
      </c>
    </row>
    <row r="4" spans="1:20" x14ac:dyDescent="0.25">
      <c r="A4" s="2">
        <v>1</v>
      </c>
      <c r="B4" s="2">
        <v>2023</v>
      </c>
      <c r="C4" s="2" t="s">
        <v>22</v>
      </c>
      <c r="D4" s="2" t="s">
        <v>1754</v>
      </c>
      <c r="E4" s="2" t="s">
        <v>1755</v>
      </c>
      <c r="F4" s="2" t="s">
        <v>1756</v>
      </c>
      <c r="G4" s="2" t="s">
        <v>58</v>
      </c>
      <c r="H4" s="2" t="s">
        <v>1757</v>
      </c>
      <c r="I4" s="2">
        <v>514.20000000000005</v>
      </c>
      <c r="J4" s="2">
        <v>13</v>
      </c>
      <c r="K4" s="2">
        <v>114122.2</v>
      </c>
      <c r="L4" s="2">
        <v>142.18</v>
      </c>
      <c r="M4" s="2">
        <v>40.299999999999997</v>
      </c>
      <c r="N4" s="2">
        <v>0.63529999999999998</v>
      </c>
      <c r="O4" s="2">
        <v>56.82</v>
      </c>
      <c r="P4" s="2">
        <v>8.0786999999999995</v>
      </c>
      <c r="Q4" s="2">
        <v>4.0300000000000002E-2</v>
      </c>
      <c r="R4" s="2">
        <v>72.501800000000003</v>
      </c>
      <c r="S4" s="2">
        <v>80.620800000000003</v>
      </c>
      <c r="T4" s="2" t="s">
        <v>1758</v>
      </c>
    </row>
    <row r="5" spans="1:20" ht="24" x14ac:dyDescent="0.25">
      <c r="A5" s="3">
        <v>2</v>
      </c>
      <c r="B5" s="3">
        <v>2023</v>
      </c>
      <c r="C5" s="3" t="s">
        <v>32</v>
      </c>
      <c r="D5" s="3" t="s">
        <v>1759</v>
      </c>
      <c r="E5" s="3" t="s">
        <v>1760</v>
      </c>
      <c r="F5" s="3" t="s">
        <v>1761</v>
      </c>
      <c r="G5" s="3" t="s">
        <v>139</v>
      </c>
      <c r="H5" s="3" t="s">
        <v>1757</v>
      </c>
      <c r="I5" s="3">
        <v>477</v>
      </c>
      <c r="J5" s="3">
        <v>35</v>
      </c>
      <c r="K5" s="3">
        <v>112988.2</v>
      </c>
      <c r="L5" s="3">
        <v>228.16</v>
      </c>
      <c r="M5" s="3">
        <v>11.4</v>
      </c>
      <c r="N5" s="3">
        <v>0.65069999999999995</v>
      </c>
      <c r="O5" s="3">
        <v>57.58</v>
      </c>
      <c r="P5" s="3">
        <v>13.137499999999999</v>
      </c>
      <c r="Q5" s="3">
        <v>1.14E-2</v>
      </c>
      <c r="R5" s="3">
        <v>73.5214</v>
      </c>
      <c r="S5" s="3">
        <v>86.670299999999997</v>
      </c>
      <c r="T5" s="3" t="s">
        <v>1758</v>
      </c>
    </row>
    <row r="6" spans="1:20" ht="24" x14ac:dyDescent="0.25">
      <c r="A6" s="2">
        <v>3</v>
      </c>
      <c r="B6" s="2">
        <v>2023</v>
      </c>
      <c r="C6" s="2" t="s">
        <v>39</v>
      </c>
      <c r="D6" s="2" t="s">
        <v>1762</v>
      </c>
      <c r="E6" s="2" t="s">
        <v>1763</v>
      </c>
      <c r="F6" s="2" t="s">
        <v>1764</v>
      </c>
      <c r="G6" s="2" t="s">
        <v>70</v>
      </c>
      <c r="H6" s="2" t="s">
        <v>1765</v>
      </c>
      <c r="I6" s="2">
        <v>393.3</v>
      </c>
      <c r="J6" s="2">
        <v>51</v>
      </c>
      <c r="K6" s="2">
        <v>108130</v>
      </c>
      <c r="L6" s="2">
        <v>50.67</v>
      </c>
      <c r="M6" s="2">
        <v>468.6</v>
      </c>
      <c r="N6" s="2">
        <v>0.81069999999999998</v>
      </c>
      <c r="O6" s="2">
        <v>56.65</v>
      </c>
      <c r="P6" s="2">
        <v>2.8704999999999998</v>
      </c>
      <c r="Q6" s="2">
        <v>0.46860000000000002</v>
      </c>
      <c r="R6" s="2">
        <v>87.661000000000001</v>
      </c>
      <c r="S6" s="2">
        <v>91.000100000000003</v>
      </c>
      <c r="T6" s="2" t="s">
        <v>1758</v>
      </c>
    </row>
    <row r="7" spans="1:20" x14ac:dyDescent="0.25">
      <c r="A7" s="3">
        <v>4</v>
      </c>
      <c r="B7" s="3">
        <v>2023</v>
      </c>
      <c r="C7" s="3" t="s">
        <v>46</v>
      </c>
      <c r="D7" s="3" t="s">
        <v>1766</v>
      </c>
      <c r="E7" s="3" t="s">
        <v>1767</v>
      </c>
      <c r="F7" s="3" t="s">
        <v>1768</v>
      </c>
      <c r="G7" s="3" t="s">
        <v>24</v>
      </c>
      <c r="H7" s="3" t="s">
        <v>1769</v>
      </c>
      <c r="I7" s="3">
        <v>483.2</v>
      </c>
      <c r="J7" s="3">
        <v>34</v>
      </c>
      <c r="K7" s="3">
        <v>72001.3</v>
      </c>
      <c r="L7" s="3">
        <v>155.33000000000001</v>
      </c>
      <c r="M7" s="3">
        <v>494.9</v>
      </c>
      <c r="N7" s="3">
        <v>0.74839999999999995</v>
      </c>
      <c r="O7" s="3">
        <v>57.95</v>
      </c>
      <c r="P7" s="3">
        <v>9.0014000000000003</v>
      </c>
      <c r="Q7" s="3">
        <v>0.49490000000000001</v>
      </c>
      <c r="R7" s="3">
        <v>53.885800000000003</v>
      </c>
      <c r="S7" s="3">
        <v>63.382100000000001</v>
      </c>
      <c r="T7" s="3" t="s">
        <v>1758</v>
      </c>
    </row>
    <row r="8" spans="1:20" ht="24" x14ac:dyDescent="0.25">
      <c r="A8" s="2">
        <v>5</v>
      </c>
      <c r="B8" s="2">
        <v>2023</v>
      </c>
      <c r="C8" s="2" t="s">
        <v>22</v>
      </c>
      <c r="D8" s="2" t="s">
        <v>1770</v>
      </c>
      <c r="E8" s="2" t="s">
        <v>1760</v>
      </c>
      <c r="F8" s="2" t="s">
        <v>1771</v>
      </c>
      <c r="G8" s="2" t="s">
        <v>24</v>
      </c>
      <c r="H8" s="2" t="s">
        <v>1772</v>
      </c>
      <c r="I8" s="2">
        <v>233.6</v>
      </c>
      <c r="J8" s="2">
        <v>51</v>
      </c>
      <c r="K8" s="2">
        <v>68326.8</v>
      </c>
      <c r="L8" s="2">
        <v>12.4</v>
      </c>
      <c r="M8" s="2">
        <v>16.2</v>
      </c>
      <c r="N8" s="2">
        <v>0.68840000000000001</v>
      </c>
      <c r="O8" s="2">
        <v>57.73</v>
      </c>
      <c r="P8" s="2">
        <v>0.71589999999999998</v>
      </c>
      <c r="Q8" s="2">
        <v>1.6199999999999999E-2</v>
      </c>
      <c r="R8" s="2">
        <v>47.036200000000001</v>
      </c>
      <c r="S8" s="2">
        <v>47.768300000000004</v>
      </c>
      <c r="T8" s="2" t="s">
        <v>1773</v>
      </c>
    </row>
    <row r="9" spans="1:20" ht="24" x14ac:dyDescent="0.25">
      <c r="A9" s="3">
        <v>6</v>
      </c>
      <c r="B9" s="3">
        <v>2023</v>
      </c>
      <c r="C9" s="3" t="s">
        <v>32</v>
      </c>
      <c r="D9" s="3" t="s">
        <v>1774</v>
      </c>
      <c r="E9" s="3" t="s">
        <v>1760</v>
      </c>
      <c r="F9" s="3" t="s">
        <v>1775</v>
      </c>
      <c r="G9" s="3" t="s">
        <v>120</v>
      </c>
      <c r="H9" s="3" t="s">
        <v>1776</v>
      </c>
      <c r="I9" s="3">
        <v>712.5</v>
      </c>
      <c r="J9" s="3">
        <v>39</v>
      </c>
      <c r="K9" s="3">
        <v>88489.9</v>
      </c>
      <c r="L9" s="3">
        <v>284.62</v>
      </c>
      <c r="M9" s="3">
        <v>323.5</v>
      </c>
      <c r="N9" s="3">
        <v>0.61709999999999998</v>
      </c>
      <c r="O9" s="3">
        <v>56.05</v>
      </c>
      <c r="P9" s="3">
        <v>15.952999999999999</v>
      </c>
      <c r="Q9" s="3">
        <v>0.32350000000000001</v>
      </c>
      <c r="R9" s="3">
        <v>54.607100000000003</v>
      </c>
      <c r="S9" s="3">
        <v>70.883600000000001</v>
      </c>
      <c r="T9" s="3" t="s">
        <v>1773</v>
      </c>
    </row>
    <row r="10" spans="1:20" ht="24" x14ac:dyDescent="0.25">
      <c r="A10" s="2">
        <v>7</v>
      </c>
      <c r="B10" s="2">
        <v>2023</v>
      </c>
      <c r="C10" s="2" t="s">
        <v>39</v>
      </c>
      <c r="D10" s="2" t="s">
        <v>1777</v>
      </c>
      <c r="E10" s="2" t="s">
        <v>1760</v>
      </c>
      <c r="F10" s="2" t="s">
        <v>1778</v>
      </c>
      <c r="G10" s="2" t="s">
        <v>24</v>
      </c>
      <c r="H10" s="2" t="s">
        <v>1779</v>
      </c>
      <c r="I10" s="2">
        <v>671.2</v>
      </c>
      <c r="J10" s="2">
        <v>51</v>
      </c>
      <c r="K10" s="2">
        <v>170318.5</v>
      </c>
      <c r="L10" s="2">
        <v>143.31</v>
      </c>
      <c r="M10" s="2">
        <v>358.3</v>
      </c>
      <c r="N10" s="2">
        <v>0.60580000000000001</v>
      </c>
      <c r="O10" s="2">
        <v>57.3</v>
      </c>
      <c r="P10" s="2">
        <v>8.2117000000000004</v>
      </c>
      <c r="Q10" s="2">
        <v>0.35830000000000001</v>
      </c>
      <c r="R10" s="2">
        <v>103.1789</v>
      </c>
      <c r="S10" s="2">
        <v>111.74890000000001</v>
      </c>
      <c r="T10" s="2" t="s">
        <v>1758</v>
      </c>
    </row>
    <row r="11" spans="1:20" ht="24" x14ac:dyDescent="0.25">
      <c r="A11" s="3">
        <v>8</v>
      </c>
      <c r="B11" s="3">
        <v>2023</v>
      </c>
      <c r="C11" s="3" t="s">
        <v>46</v>
      </c>
      <c r="D11" s="3" t="s">
        <v>1780</v>
      </c>
      <c r="E11" s="3" t="s">
        <v>1763</v>
      </c>
      <c r="F11" s="3" t="s">
        <v>1781</v>
      </c>
      <c r="G11" s="3" t="s">
        <v>70</v>
      </c>
      <c r="H11" s="3" t="s">
        <v>1757</v>
      </c>
      <c r="I11" s="3">
        <v>685.3</v>
      </c>
      <c r="J11" s="3">
        <v>53</v>
      </c>
      <c r="K11" s="3">
        <v>181635.8</v>
      </c>
      <c r="L11" s="3">
        <v>266.66000000000003</v>
      </c>
      <c r="M11" s="3">
        <v>55.9</v>
      </c>
      <c r="N11" s="3">
        <v>0.4345</v>
      </c>
      <c r="O11" s="3">
        <v>56.83</v>
      </c>
      <c r="P11" s="3">
        <v>15.154299999999999</v>
      </c>
      <c r="Q11" s="3">
        <v>5.5899999999999998E-2</v>
      </c>
      <c r="R11" s="3">
        <v>78.9208</v>
      </c>
      <c r="S11" s="3">
        <v>94.131</v>
      </c>
      <c r="T11" s="3" t="s">
        <v>1773</v>
      </c>
    </row>
    <row r="12" spans="1:20" ht="24" x14ac:dyDescent="0.25">
      <c r="A12" s="2">
        <v>9</v>
      </c>
      <c r="B12" s="2">
        <v>2023</v>
      </c>
      <c r="C12" s="2" t="s">
        <v>22</v>
      </c>
      <c r="D12" s="2" t="s">
        <v>1782</v>
      </c>
      <c r="E12" s="2" t="s">
        <v>1763</v>
      </c>
      <c r="F12" s="2" t="s">
        <v>1756</v>
      </c>
      <c r="G12" s="2" t="s">
        <v>117</v>
      </c>
      <c r="H12" s="2" t="s">
        <v>1783</v>
      </c>
      <c r="I12" s="2">
        <v>207.6</v>
      </c>
      <c r="J12" s="2">
        <v>11</v>
      </c>
      <c r="K12" s="2">
        <v>34462.699999999997</v>
      </c>
      <c r="L12" s="2">
        <v>75.19</v>
      </c>
      <c r="M12" s="2">
        <v>229.1</v>
      </c>
      <c r="N12" s="2">
        <v>0.70450000000000002</v>
      </c>
      <c r="O12" s="2">
        <v>57.51</v>
      </c>
      <c r="P12" s="2">
        <v>4.3242000000000003</v>
      </c>
      <c r="Q12" s="2">
        <v>0.2291</v>
      </c>
      <c r="R12" s="2">
        <v>24.279</v>
      </c>
      <c r="S12" s="2">
        <v>28.8323</v>
      </c>
      <c r="T12" s="2" t="s">
        <v>1773</v>
      </c>
    </row>
    <row r="13" spans="1:20" x14ac:dyDescent="0.25">
      <c r="A13" s="3">
        <v>10</v>
      </c>
      <c r="B13" s="3">
        <v>2023</v>
      </c>
      <c r="C13" s="3" t="s">
        <v>32</v>
      </c>
      <c r="D13" s="3" t="s">
        <v>1784</v>
      </c>
      <c r="E13" s="3" t="s">
        <v>1755</v>
      </c>
      <c r="F13" s="3" t="s">
        <v>803</v>
      </c>
      <c r="G13" s="3" t="s">
        <v>70</v>
      </c>
      <c r="H13" s="3" t="s">
        <v>1769</v>
      </c>
      <c r="I13" s="3">
        <v>640.5</v>
      </c>
      <c r="J13" s="3">
        <v>49</v>
      </c>
      <c r="K13" s="3">
        <v>97089.8</v>
      </c>
      <c r="L13" s="3">
        <v>111.37</v>
      </c>
      <c r="M13" s="3">
        <v>17.899999999999999</v>
      </c>
      <c r="N13" s="3">
        <v>0.42</v>
      </c>
      <c r="O13" s="3">
        <v>57.04</v>
      </c>
      <c r="P13" s="3">
        <v>6.3525</v>
      </c>
      <c r="Q13" s="3">
        <v>1.7899999999999999E-2</v>
      </c>
      <c r="R13" s="3">
        <v>40.777700000000003</v>
      </c>
      <c r="S13" s="3">
        <v>47.148099999999999</v>
      </c>
      <c r="T13" s="3" t="s">
        <v>506</v>
      </c>
    </row>
    <row r="14" spans="1:20" x14ac:dyDescent="0.25">
      <c r="A14" s="2">
        <v>11</v>
      </c>
      <c r="B14" s="2">
        <v>2023</v>
      </c>
      <c r="C14" s="2" t="s">
        <v>39</v>
      </c>
      <c r="D14" s="2" t="s">
        <v>1785</v>
      </c>
      <c r="E14" s="2" t="s">
        <v>1763</v>
      </c>
      <c r="F14" s="2" t="s">
        <v>1781</v>
      </c>
      <c r="G14" s="2" t="s">
        <v>96</v>
      </c>
      <c r="H14" s="2" t="s">
        <v>1786</v>
      </c>
      <c r="I14" s="2">
        <v>322</v>
      </c>
      <c r="J14" s="2">
        <v>23</v>
      </c>
      <c r="K14" s="2">
        <v>51949.1</v>
      </c>
      <c r="L14" s="2">
        <v>119.82</v>
      </c>
      <c r="M14" s="2">
        <v>283.8</v>
      </c>
      <c r="N14" s="2">
        <v>0.50239999999999996</v>
      </c>
      <c r="O14" s="2">
        <v>57.43</v>
      </c>
      <c r="P14" s="2">
        <v>6.8813000000000004</v>
      </c>
      <c r="Q14" s="2">
        <v>0.2838</v>
      </c>
      <c r="R14" s="2">
        <v>26.0992</v>
      </c>
      <c r="S14" s="2">
        <v>33.264299999999999</v>
      </c>
      <c r="T14" s="2" t="s">
        <v>1758</v>
      </c>
    </row>
    <row r="15" spans="1:20" x14ac:dyDescent="0.25">
      <c r="A15" s="3">
        <v>12</v>
      </c>
      <c r="B15" s="3">
        <v>2023</v>
      </c>
      <c r="C15" s="3" t="s">
        <v>46</v>
      </c>
      <c r="D15" s="3" t="s">
        <v>1787</v>
      </c>
      <c r="E15" s="3" t="s">
        <v>1767</v>
      </c>
      <c r="F15" s="3" t="s">
        <v>727</v>
      </c>
      <c r="G15" s="3" t="s">
        <v>117</v>
      </c>
      <c r="H15" s="3" t="s">
        <v>1769</v>
      </c>
      <c r="I15" s="3">
        <v>505.6</v>
      </c>
      <c r="J15" s="3">
        <v>59</v>
      </c>
      <c r="K15" s="3">
        <v>89413</v>
      </c>
      <c r="L15" s="3">
        <v>170.16</v>
      </c>
      <c r="M15" s="3">
        <v>14</v>
      </c>
      <c r="N15" s="3">
        <v>0.45579999999999998</v>
      </c>
      <c r="O15" s="3">
        <v>56.61</v>
      </c>
      <c r="P15" s="3">
        <v>9.6327999999999996</v>
      </c>
      <c r="Q15" s="3">
        <v>1.4E-2</v>
      </c>
      <c r="R15" s="3">
        <v>40.754399999999997</v>
      </c>
      <c r="S15" s="3">
        <v>50.401200000000003</v>
      </c>
      <c r="T15" s="3" t="s">
        <v>506</v>
      </c>
    </row>
    <row r="16" spans="1:20" x14ac:dyDescent="0.25">
      <c r="A16" s="2">
        <v>13</v>
      </c>
      <c r="B16" s="2">
        <v>2023</v>
      </c>
      <c r="C16" s="2" t="s">
        <v>22</v>
      </c>
      <c r="D16" s="2" t="s">
        <v>1788</v>
      </c>
      <c r="E16" s="2" t="s">
        <v>1789</v>
      </c>
      <c r="F16" s="2" t="s">
        <v>1790</v>
      </c>
      <c r="G16" s="2" t="s">
        <v>54</v>
      </c>
      <c r="H16" s="2" t="s">
        <v>1769</v>
      </c>
      <c r="I16" s="2">
        <v>431.4</v>
      </c>
      <c r="J16" s="2">
        <v>60</v>
      </c>
      <c r="K16" s="2">
        <v>129085</v>
      </c>
      <c r="L16" s="2">
        <v>100.36</v>
      </c>
      <c r="M16" s="2">
        <v>309.2</v>
      </c>
      <c r="N16" s="2">
        <v>0.43519999999999998</v>
      </c>
      <c r="O16" s="2">
        <v>56.69</v>
      </c>
      <c r="P16" s="2">
        <v>5.6894</v>
      </c>
      <c r="Q16" s="2">
        <v>0.30919999999999997</v>
      </c>
      <c r="R16" s="2">
        <v>56.177799999999998</v>
      </c>
      <c r="S16" s="2">
        <v>62.176400000000001</v>
      </c>
      <c r="T16" s="2" t="s">
        <v>506</v>
      </c>
    </row>
    <row r="17" spans="1:20" ht="24" x14ac:dyDescent="0.25">
      <c r="A17" s="3">
        <v>14</v>
      </c>
      <c r="B17" s="3">
        <v>2023</v>
      </c>
      <c r="C17" s="3" t="s">
        <v>32</v>
      </c>
      <c r="D17" s="3" t="s">
        <v>1791</v>
      </c>
      <c r="E17" s="3" t="s">
        <v>1760</v>
      </c>
      <c r="F17" s="3" t="s">
        <v>727</v>
      </c>
      <c r="G17" s="3" t="s">
        <v>154</v>
      </c>
      <c r="H17" s="3" t="s">
        <v>1779</v>
      </c>
      <c r="I17" s="3">
        <v>330.8</v>
      </c>
      <c r="J17" s="3">
        <v>60</v>
      </c>
      <c r="K17" s="3">
        <v>94349.6</v>
      </c>
      <c r="L17" s="3">
        <v>113.06</v>
      </c>
      <c r="M17" s="3">
        <v>435.4</v>
      </c>
      <c r="N17" s="3">
        <v>0.59099999999999997</v>
      </c>
      <c r="O17" s="3">
        <v>56.97</v>
      </c>
      <c r="P17" s="3">
        <v>6.4409999999999998</v>
      </c>
      <c r="Q17" s="3">
        <v>0.43540000000000001</v>
      </c>
      <c r="R17" s="3">
        <v>55.760599999999997</v>
      </c>
      <c r="S17" s="3">
        <v>62.637</v>
      </c>
      <c r="T17" s="3" t="s">
        <v>1773</v>
      </c>
    </row>
    <row r="18" spans="1:20" ht="24" x14ac:dyDescent="0.25">
      <c r="A18" s="2">
        <v>15</v>
      </c>
      <c r="B18" s="2">
        <v>2023</v>
      </c>
      <c r="C18" s="2" t="s">
        <v>39</v>
      </c>
      <c r="D18" s="2" t="s">
        <v>1792</v>
      </c>
      <c r="E18" s="2" t="s">
        <v>1763</v>
      </c>
      <c r="F18" s="2" t="s">
        <v>1793</v>
      </c>
      <c r="G18" s="2" t="s">
        <v>204</v>
      </c>
      <c r="H18" s="2" t="s">
        <v>1765</v>
      </c>
      <c r="I18" s="2">
        <v>218.6</v>
      </c>
      <c r="J18" s="2">
        <v>18</v>
      </c>
      <c r="K18" s="2">
        <v>31666.799999999999</v>
      </c>
      <c r="L18" s="2">
        <v>38.31</v>
      </c>
      <c r="M18" s="2">
        <v>389</v>
      </c>
      <c r="N18" s="2">
        <v>0.74460000000000004</v>
      </c>
      <c r="O18" s="2">
        <v>57.3</v>
      </c>
      <c r="P18" s="2">
        <v>2.1951999999999998</v>
      </c>
      <c r="Q18" s="2">
        <v>0.38900000000000001</v>
      </c>
      <c r="R18" s="2">
        <v>23.5791</v>
      </c>
      <c r="S18" s="2">
        <v>26.1633</v>
      </c>
      <c r="T18" s="2" t="s">
        <v>506</v>
      </c>
    </row>
    <row r="19" spans="1:20" ht="24" x14ac:dyDescent="0.25">
      <c r="A19" s="3">
        <v>16</v>
      </c>
      <c r="B19" s="3">
        <v>2023</v>
      </c>
      <c r="C19" s="3" t="s">
        <v>46</v>
      </c>
      <c r="D19" s="3" t="s">
        <v>1794</v>
      </c>
      <c r="E19" s="3" t="s">
        <v>1755</v>
      </c>
      <c r="F19" s="3" t="s">
        <v>1756</v>
      </c>
      <c r="G19" s="3" t="s">
        <v>139</v>
      </c>
      <c r="H19" s="3" t="s">
        <v>1779</v>
      </c>
      <c r="I19" s="3">
        <v>684.3</v>
      </c>
      <c r="J19" s="3">
        <v>55</v>
      </c>
      <c r="K19" s="3">
        <v>176232.6</v>
      </c>
      <c r="L19" s="3">
        <v>310.77999999999997</v>
      </c>
      <c r="M19" s="3">
        <v>370.7</v>
      </c>
      <c r="N19" s="3">
        <v>0.53180000000000005</v>
      </c>
      <c r="O19" s="3">
        <v>56.07</v>
      </c>
      <c r="P19" s="3">
        <v>17.4254</v>
      </c>
      <c r="Q19" s="3">
        <v>0.37069999999999997</v>
      </c>
      <c r="R19" s="3">
        <v>93.720500000000001</v>
      </c>
      <c r="S19" s="3">
        <v>111.5166</v>
      </c>
      <c r="T19" s="3" t="s">
        <v>1773</v>
      </c>
    </row>
    <row r="20" spans="1:20" x14ac:dyDescent="0.25">
      <c r="A20" s="2">
        <v>17</v>
      </c>
      <c r="B20" s="2">
        <v>2023</v>
      </c>
      <c r="C20" s="2" t="s">
        <v>22</v>
      </c>
      <c r="D20" s="2" t="s">
        <v>1795</v>
      </c>
      <c r="E20" s="2" t="s">
        <v>1767</v>
      </c>
      <c r="F20" s="2" t="s">
        <v>803</v>
      </c>
      <c r="G20" s="2" t="s">
        <v>65</v>
      </c>
      <c r="H20" s="2" t="s">
        <v>1776</v>
      </c>
      <c r="I20" s="2">
        <v>465</v>
      </c>
      <c r="J20" s="2">
        <v>39</v>
      </c>
      <c r="K20" s="2">
        <v>125234.3</v>
      </c>
      <c r="L20" s="2">
        <v>135.77000000000001</v>
      </c>
      <c r="M20" s="2">
        <v>39.700000000000003</v>
      </c>
      <c r="N20" s="2">
        <v>0.749</v>
      </c>
      <c r="O20" s="2">
        <v>56.89</v>
      </c>
      <c r="P20" s="2">
        <v>7.7240000000000002</v>
      </c>
      <c r="Q20" s="2">
        <v>3.9699999999999999E-2</v>
      </c>
      <c r="R20" s="2">
        <v>93.8005</v>
      </c>
      <c r="S20" s="2">
        <v>101.5642</v>
      </c>
      <c r="T20" s="2" t="s">
        <v>506</v>
      </c>
    </row>
    <row r="21" spans="1:20" x14ac:dyDescent="0.25">
      <c r="A21" s="3">
        <v>18</v>
      </c>
      <c r="B21" s="3">
        <v>2023</v>
      </c>
      <c r="C21" s="3" t="s">
        <v>32</v>
      </c>
      <c r="D21" s="3" t="s">
        <v>1796</v>
      </c>
      <c r="E21" s="3" t="s">
        <v>1763</v>
      </c>
      <c r="F21" s="3" t="s">
        <v>1761</v>
      </c>
      <c r="G21" s="3" t="s">
        <v>117</v>
      </c>
      <c r="H21" s="3" t="s">
        <v>1779</v>
      </c>
      <c r="I21" s="3">
        <v>187</v>
      </c>
      <c r="J21" s="3">
        <v>46</v>
      </c>
      <c r="K21" s="3">
        <v>50771.3</v>
      </c>
      <c r="L21" s="3">
        <v>28.56</v>
      </c>
      <c r="M21" s="3">
        <v>358.7</v>
      </c>
      <c r="N21" s="3">
        <v>0.43869999999999998</v>
      </c>
      <c r="O21" s="3">
        <v>57.96</v>
      </c>
      <c r="P21" s="3">
        <v>1.6553</v>
      </c>
      <c r="Q21" s="3">
        <v>0.35870000000000002</v>
      </c>
      <c r="R21" s="3">
        <v>22.273399999999999</v>
      </c>
      <c r="S21" s="3">
        <v>24.287400000000002</v>
      </c>
      <c r="T21" s="3" t="s">
        <v>506</v>
      </c>
    </row>
    <row r="22" spans="1:20" ht="24" x14ac:dyDescent="0.25">
      <c r="A22" s="2">
        <v>19</v>
      </c>
      <c r="B22" s="2">
        <v>2023</v>
      </c>
      <c r="C22" s="2" t="s">
        <v>39</v>
      </c>
      <c r="D22" s="2" t="s">
        <v>1797</v>
      </c>
      <c r="E22" s="2" t="s">
        <v>1789</v>
      </c>
      <c r="F22" s="2" t="s">
        <v>1790</v>
      </c>
      <c r="G22" s="2" t="s">
        <v>92</v>
      </c>
      <c r="H22" s="2" t="s">
        <v>1783</v>
      </c>
      <c r="I22" s="2">
        <v>192.5</v>
      </c>
      <c r="J22" s="2">
        <v>58</v>
      </c>
      <c r="K22" s="2">
        <v>54572.5</v>
      </c>
      <c r="L22" s="2">
        <v>88.12</v>
      </c>
      <c r="M22" s="2">
        <v>66.3</v>
      </c>
      <c r="N22" s="2">
        <v>0.50139999999999996</v>
      </c>
      <c r="O22" s="2">
        <v>56.42</v>
      </c>
      <c r="P22" s="2">
        <v>4.9717000000000002</v>
      </c>
      <c r="Q22" s="2">
        <v>6.6299999999999998E-2</v>
      </c>
      <c r="R22" s="2">
        <v>27.3627</v>
      </c>
      <c r="S22" s="2">
        <v>32.400700000000001</v>
      </c>
      <c r="T22" s="2" t="s">
        <v>1773</v>
      </c>
    </row>
    <row r="23" spans="1:20" ht="24" x14ac:dyDescent="0.25">
      <c r="A23" s="3">
        <v>20</v>
      </c>
      <c r="B23" s="3">
        <v>2023</v>
      </c>
      <c r="C23" s="3" t="s">
        <v>46</v>
      </c>
      <c r="D23" s="3" t="s">
        <v>1798</v>
      </c>
      <c r="E23" s="3" t="s">
        <v>1760</v>
      </c>
      <c r="F23" s="3" t="s">
        <v>803</v>
      </c>
      <c r="G23" s="3" t="s">
        <v>24</v>
      </c>
      <c r="H23" s="3" t="s">
        <v>1757</v>
      </c>
      <c r="I23" s="3">
        <v>123.7</v>
      </c>
      <c r="J23" s="3">
        <v>55</v>
      </c>
      <c r="K23" s="3">
        <v>13633.8</v>
      </c>
      <c r="L23" s="3">
        <v>50.16</v>
      </c>
      <c r="M23" s="3">
        <v>36.5</v>
      </c>
      <c r="N23" s="3">
        <v>0.58909999999999996</v>
      </c>
      <c r="O23" s="3">
        <v>56.88</v>
      </c>
      <c r="P23" s="3">
        <v>2.8531</v>
      </c>
      <c r="Q23" s="3">
        <v>3.6499999999999998E-2</v>
      </c>
      <c r="R23" s="3">
        <v>8.0317000000000007</v>
      </c>
      <c r="S23" s="3">
        <v>10.9213</v>
      </c>
      <c r="T23" s="3" t="s">
        <v>506</v>
      </c>
    </row>
    <row r="24" spans="1:20" x14ac:dyDescent="0.25">
      <c r="A24" s="2">
        <v>21</v>
      </c>
      <c r="B24" s="2">
        <v>2023</v>
      </c>
      <c r="C24" s="2" t="s">
        <v>22</v>
      </c>
      <c r="D24" s="2" t="s">
        <v>1799</v>
      </c>
      <c r="E24" s="2" t="s">
        <v>1789</v>
      </c>
      <c r="F24" s="2" t="s">
        <v>1790</v>
      </c>
      <c r="G24" s="2" t="s">
        <v>92</v>
      </c>
      <c r="H24" s="2" t="s">
        <v>1783</v>
      </c>
      <c r="I24" s="2">
        <v>415.4</v>
      </c>
      <c r="J24" s="2">
        <v>41</v>
      </c>
      <c r="K24" s="2">
        <v>42337.8</v>
      </c>
      <c r="L24" s="2">
        <v>101.1</v>
      </c>
      <c r="M24" s="2">
        <v>452.5</v>
      </c>
      <c r="N24" s="2">
        <v>0.71</v>
      </c>
      <c r="O24" s="2">
        <v>56.89</v>
      </c>
      <c r="P24" s="2">
        <v>5.7515999999999998</v>
      </c>
      <c r="Q24" s="2">
        <v>0.45250000000000001</v>
      </c>
      <c r="R24" s="2">
        <v>30.059799999999999</v>
      </c>
      <c r="S24" s="2">
        <v>36.2639</v>
      </c>
      <c r="T24" s="2" t="s">
        <v>1758</v>
      </c>
    </row>
    <row r="25" spans="1:20" ht="24" x14ac:dyDescent="0.25">
      <c r="A25" s="3">
        <v>22</v>
      </c>
      <c r="B25" s="3">
        <v>2023</v>
      </c>
      <c r="C25" s="3" t="s">
        <v>32</v>
      </c>
      <c r="D25" s="3" t="s">
        <v>1800</v>
      </c>
      <c r="E25" s="3" t="s">
        <v>1763</v>
      </c>
      <c r="F25" s="3" t="s">
        <v>743</v>
      </c>
      <c r="G25" s="3" t="s">
        <v>54</v>
      </c>
      <c r="H25" s="3" t="s">
        <v>1757</v>
      </c>
      <c r="I25" s="3">
        <v>238.8</v>
      </c>
      <c r="J25" s="3">
        <v>31</v>
      </c>
      <c r="K25" s="3">
        <v>52600.7</v>
      </c>
      <c r="L25" s="3">
        <v>64.88</v>
      </c>
      <c r="M25" s="3">
        <v>88.3</v>
      </c>
      <c r="N25" s="3">
        <v>0.60360000000000003</v>
      </c>
      <c r="O25" s="3">
        <v>57.03</v>
      </c>
      <c r="P25" s="3">
        <v>3.7000999999999999</v>
      </c>
      <c r="Q25" s="3">
        <v>8.8300000000000003E-2</v>
      </c>
      <c r="R25" s="3">
        <v>31.7498</v>
      </c>
      <c r="S25" s="3">
        <v>35.538200000000003</v>
      </c>
      <c r="T25" s="3" t="s">
        <v>1773</v>
      </c>
    </row>
    <row r="26" spans="1:20" ht="24" x14ac:dyDescent="0.25">
      <c r="A26" s="2">
        <v>23</v>
      </c>
      <c r="B26" s="2">
        <v>2023</v>
      </c>
      <c r="C26" s="2" t="s">
        <v>39</v>
      </c>
      <c r="D26" s="2" t="s">
        <v>1801</v>
      </c>
      <c r="E26" s="2" t="s">
        <v>1755</v>
      </c>
      <c r="F26" s="2" t="s">
        <v>1756</v>
      </c>
      <c r="G26" s="2" t="s">
        <v>70</v>
      </c>
      <c r="H26" s="2" t="s">
        <v>1783</v>
      </c>
      <c r="I26" s="2">
        <v>256.5</v>
      </c>
      <c r="J26" s="2">
        <v>40</v>
      </c>
      <c r="K26" s="2">
        <v>51457.1</v>
      </c>
      <c r="L26" s="2">
        <v>85.07</v>
      </c>
      <c r="M26" s="2">
        <v>55.7</v>
      </c>
      <c r="N26" s="2">
        <v>0.72829999999999995</v>
      </c>
      <c r="O26" s="2">
        <v>56.36</v>
      </c>
      <c r="P26" s="2">
        <v>4.7945000000000002</v>
      </c>
      <c r="Q26" s="2">
        <v>5.57E-2</v>
      </c>
      <c r="R26" s="2">
        <v>37.476199999999999</v>
      </c>
      <c r="S26" s="2">
        <v>42.3264</v>
      </c>
      <c r="T26" s="2" t="s">
        <v>1773</v>
      </c>
    </row>
    <row r="27" spans="1:20" x14ac:dyDescent="0.25">
      <c r="A27" s="3">
        <v>24</v>
      </c>
      <c r="B27" s="3">
        <v>2023</v>
      </c>
      <c r="C27" s="3" t="s">
        <v>46</v>
      </c>
      <c r="D27" s="3" t="s">
        <v>1802</v>
      </c>
      <c r="E27" s="3" t="s">
        <v>1767</v>
      </c>
      <c r="F27" s="3" t="s">
        <v>1781</v>
      </c>
      <c r="G27" s="3" t="s">
        <v>65</v>
      </c>
      <c r="H27" s="3" t="s">
        <v>1779</v>
      </c>
      <c r="I27" s="3">
        <v>172.3</v>
      </c>
      <c r="J27" s="3">
        <v>9</v>
      </c>
      <c r="K27" s="3">
        <v>43434.7</v>
      </c>
      <c r="L27" s="3">
        <v>60.79</v>
      </c>
      <c r="M27" s="3">
        <v>47.3</v>
      </c>
      <c r="N27" s="3">
        <v>0.78100000000000003</v>
      </c>
      <c r="O27" s="3">
        <v>56.68</v>
      </c>
      <c r="P27" s="3">
        <v>3.4456000000000002</v>
      </c>
      <c r="Q27" s="3">
        <v>4.7300000000000002E-2</v>
      </c>
      <c r="R27" s="3">
        <v>33.922499999999999</v>
      </c>
      <c r="S27" s="3">
        <v>37.415399999999998</v>
      </c>
      <c r="T27" s="3" t="s">
        <v>1758</v>
      </c>
    </row>
    <row r="28" spans="1:20" ht="24" x14ac:dyDescent="0.25">
      <c r="A28" s="2">
        <v>25</v>
      </c>
      <c r="B28" s="2">
        <v>2023</v>
      </c>
      <c r="C28" s="2" t="s">
        <v>22</v>
      </c>
      <c r="D28" s="2" t="s">
        <v>1803</v>
      </c>
      <c r="E28" s="2" t="s">
        <v>1789</v>
      </c>
      <c r="F28" s="2" t="s">
        <v>1790</v>
      </c>
      <c r="G28" s="2" t="s">
        <v>154</v>
      </c>
      <c r="H28" s="2" t="s">
        <v>1786</v>
      </c>
      <c r="I28" s="2">
        <v>209.9</v>
      </c>
      <c r="J28" s="2">
        <v>37</v>
      </c>
      <c r="K28" s="2">
        <v>33810</v>
      </c>
      <c r="L28" s="2">
        <v>82.89</v>
      </c>
      <c r="M28" s="2">
        <v>235.9</v>
      </c>
      <c r="N28" s="2">
        <v>0.69240000000000002</v>
      </c>
      <c r="O28" s="2">
        <v>57.86</v>
      </c>
      <c r="P28" s="2">
        <v>4.7960000000000003</v>
      </c>
      <c r="Q28" s="2">
        <v>0.2359</v>
      </c>
      <c r="R28" s="2">
        <v>23.41</v>
      </c>
      <c r="S28" s="2">
        <v>28.4419</v>
      </c>
      <c r="T28" s="2" t="s">
        <v>1773</v>
      </c>
    </row>
    <row r="29" spans="1:20" x14ac:dyDescent="0.25">
      <c r="A29" s="3">
        <v>26</v>
      </c>
      <c r="B29" s="3">
        <v>2023</v>
      </c>
      <c r="C29" s="3" t="s">
        <v>32</v>
      </c>
      <c r="D29" s="3" t="s">
        <v>1804</v>
      </c>
      <c r="E29" s="3" t="s">
        <v>1767</v>
      </c>
      <c r="F29" s="3" t="s">
        <v>1793</v>
      </c>
      <c r="G29" s="3" t="s">
        <v>154</v>
      </c>
      <c r="H29" s="3" t="s">
        <v>1772</v>
      </c>
      <c r="I29" s="3">
        <v>167.3</v>
      </c>
      <c r="J29" s="3">
        <v>54</v>
      </c>
      <c r="K29" s="3">
        <v>29988.2</v>
      </c>
      <c r="L29" s="3">
        <v>21.3</v>
      </c>
      <c r="M29" s="3">
        <v>79</v>
      </c>
      <c r="N29" s="3">
        <v>0.68130000000000002</v>
      </c>
      <c r="O29" s="3">
        <v>56.65</v>
      </c>
      <c r="P29" s="3">
        <v>1.2065999999999999</v>
      </c>
      <c r="Q29" s="3">
        <v>7.9000000000000001E-2</v>
      </c>
      <c r="R29" s="3">
        <v>20.431000000000001</v>
      </c>
      <c r="S29" s="3">
        <v>21.7166</v>
      </c>
      <c r="T29" s="3" t="s">
        <v>506</v>
      </c>
    </row>
    <row r="30" spans="1:20" ht="24" x14ac:dyDescent="0.25">
      <c r="A30" s="2">
        <v>27</v>
      </c>
      <c r="B30" s="2">
        <v>2023</v>
      </c>
      <c r="C30" s="2" t="s">
        <v>39</v>
      </c>
      <c r="D30" s="2" t="s">
        <v>1805</v>
      </c>
      <c r="E30" s="2" t="s">
        <v>1763</v>
      </c>
      <c r="F30" s="2" t="s">
        <v>1775</v>
      </c>
      <c r="G30" s="2" t="s">
        <v>88</v>
      </c>
      <c r="H30" s="2" t="s">
        <v>1783</v>
      </c>
      <c r="I30" s="2">
        <v>252</v>
      </c>
      <c r="J30" s="2">
        <v>21</v>
      </c>
      <c r="K30" s="2">
        <v>48987.9</v>
      </c>
      <c r="L30" s="2">
        <v>109.7</v>
      </c>
      <c r="M30" s="2">
        <v>151.80000000000001</v>
      </c>
      <c r="N30" s="2">
        <v>0.42249999999999999</v>
      </c>
      <c r="O30" s="2">
        <v>56.67</v>
      </c>
      <c r="P30" s="2">
        <v>6.2167000000000003</v>
      </c>
      <c r="Q30" s="2">
        <v>0.15179999999999999</v>
      </c>
      <c r="R30" s="2">
        <v>20.697399999999998</v>
      </c>
      <c r="S30" s="2">
        <v>27.065899999999999</v>
      </c>
      <c r="T30" s="2" t="s">
        <v>1773</v>
      </c>
    </row>
    <row r="31" spans="1:20" x14ac:dyDescent="0.25">
      <c r="A31" s="3">
        <v>28</v>
      </c>
      <c r="B31" s="3">
        <v>2023</v>
      </c>
      <c r="C31" s="3" t="s">
        <v>46</v>
      </c>
      <c r="D31" s="3" t="s">
        <v>1806</v>
      </c>
      <c r="E31" s="3" t="s">
        <v>1789</v>
      </c>
      <c r="F31" s="3" t="s">
        <v>1793</v>
      </c>
      <c r="G31" s="3" t="s">
        <v>92</v>
      </c>
      <c r="H31" s="3" t="s">
        <v>1776</v>
      </c>
      <c r="I31" s="3">
        <v>369</v>
      </c>
      <c r="J31" s="3">
        <v>30</v>
      </c>
      <c r="K31" s="3">
        <v>93186.9</v>
      </c>
      <c r="L31" s="3">
        <v>19.39</v>
      </c>
      <c r="M31" s="3">
        <v>470</v>
      </c>
      <c r="N31" s="3">
        <v>0.37769999999999998</v>
      </c>
      <c r="O31" s="3">
        <v>56.82</v>
      </c>
      <c r="P31" s="3">
        <v>1.1016999999999999</v>
      </c>
      <c r="Q31" s="3">
        <v>0.47</v>
      </c>
      <c r="R31" s="3">
        <v>35.1967</v>
      </c>
      <c r="S31" s="3">
        <v>36.7684</v>
      </c>
      <c r="T31" s="3" t="s">
        <v>1758</v>
      </c>
    </row>
    <row r="32" spans="1:20" ht="24" x14ac:dyDescent="0.25">
      <c r="A32" s="2">
        <v>29</v>
      </c>
      <c r="B32" s="2">
        <v>2023</v>
      </c>
      <c r="C32" s="2" t="s">
        <v>22</v>
      </c>
      <c r="D32" s="2" t="s">
        <v>1807</v>
      </c>
      <c r="E32" s="2" t="s">
        <v>1760</v>
      </c>
      <c r="F32" s="2" t="s">
        <v>1756</v>
      </c>
      <c r="G32" s="2" t="s">
        <v>139</v>
      </c>
      <c r="H32" s="2" t="s">
        <v>1757</v>
      </c>
      <c r="I32" s="2">
        <v>663.9</v>
      </c>
      <c r="J32" s="2">
        <v>17</v>
      </c>
      <c r="K32" s="2">
        <v>94089.1</v>
      </c>
      <c r="L32" s="2">
        <v>247.3</v>
      </c>
      <c r="M32" s="2">
        <v>147.4</v>
      </c>
      <c r="N32" s="2">
        <v>0.53669999999999995</v>
      </c>
      <c r="O32" s="2">
        <v>56.64</v>
      </c>
      <c r="P32" s="2">
        <v>14.007099999999999</v>
      </c>
      <c r="Q32" s="2">
        <v>0.1474</v>
      </c>
      <c r="R32" s="2">
        <v>50.497599999999998</v>
      </c>
      <c r="S32" s="2">
        <v>64.652100000000004</v>
      </c>
      <c r="T32" s="2" t="s">
        <v>1758</v>
      </c>
    </row>
    <row r="33" spans="1:20" x14ac:dyDescent="0.25">
      <c r="A33" s="3">
        <v>30</v>
      </c>
      <c r="B33" s="3">
        <v>2023</v>
      </c>
      <c r="C33" s="3" t="s">
        <v>32</v>
      </c>
      <c r="D33" s="3" t="s">
        <v>1808</v>
      </c>
      <c r="E33" s="3" t="s">
        <v>1767</v>
      </c>
      <c r="F33" s="3" t="s">
        <v>1793</v>
      </c>
      <c r="G33" s="3" t="s">
        <v>120</v>
      </c>
      <c r="H33" s="3" t="s">
        <v>1772</v>
      </c>
      <c r="I33" s="3">
        <v>513.20000000000005</v>
      </c>
      <c r="J33" s="3">
        <v>33</v>
      </c>
      <c r="K33" s="3">
        <v>139221.20000000001</v>
      </c>
      <c r="L33" s="3">
        <v>50.33</v>
      </c>
      <c r="M33" s="3">
        <v>121.6</v>
      </c>
      <c r="N33" s="3">
        <v>0.51270000000000004</v>
      </c>
      <c r="O33" s="3">
        <v>56.96</v>
      </c>
      <c r="P33" s="3">
        <v>2.8668</v>
      </c>
      <c r="Q33" s="3">
        <v>0.1216</v>
      </c>
      <c r="R33" s="3">
        <v>71.378699999999995</v>
      </c>
      <c r="S33" s="3">
        <v>74.367099999999994</v>
      </c>
      <c r="T33" s="3" t="s">
        <v>506</v>
      </c>
    </row>
    <row r="34" spans="1:20" ht="24" x14ac:dyDescent="0.25">
      <c r="A34" s="2">
        <v>31</v>
      </c>
      <c r="B34" s="2">
        <v>2023</v>
      </c>
      <c r="C34" s="2" t="s">
        <v>39</v>
      </c>
      <c r="D34" s="2" t="s">
        <v>1809</v>
      </c>
      <c r="E34" s="2" t="s">
        <v>1763</v>
      </c>
      <c r="F34" s="2" t="s">
        <v>743</v>
      </c>
      <c r="G34" s="2" t="s">
        <v>139</v>
      </c>
      <c r="H34" s="2" t="s">
        <v>1769</v>
      </c>
      <c r="I34" s="2">
        <v>769.8</v>
      </c>
      <c r="J34" s="2">
        <v>50</v>
      </c>
      <c r="K34" s="2">
        <v>151964.9</v>
      </c>
      <c r="L34" s="2">
        <v>135.53</v>
      </c>
      <c r="M34" s="2">
        <v>303.39999999999998</v>
      </c>
      <c r="N34" s="2">
        <v>0.53749999999999998</v>
      </c>
      <c r="O34" s="2">
        <v>56.2</v>
      </c>
      <c r="P34" s="2">
        <v>7.6167999999999996</v>
      </c>
      <c r="Q34" s="2">
        <v>0.3034</v>
      </c>
      <c r="R34" s="2">
        <v>81.681100000000001</v>
      </c>
      <c r="S34" s="2">
        <v>89.601299999999995</v>
      </c>
      <c r="T34" s="2" t="s">
        <v>1773</v>
      </c>
    </row>
    <row r="35" spans="1:20" x14ac:dyDescent="0.25">
      <c r="A35" s="3">
        <v>32</v>
      </c>
      <c r="B35" s="3">
        <v>2023</v>
      </c>
      <c r="C35" s="3" t="s">
        <v>46</v>
      </c>
      <c r="D35" s="3" t="s">
        <v>1810</v>
      </c>
      <c r="E35" s="3" t="s">
        <v>1789</v>
      </c>
      <c r="F35" s="3" t="s">
        <v>1781</v>
      </c>
      <c r="G35" s="3" t="s">
        <v>58</v>
      </c>
      <c r="H35" s="3" t="s">
        <v>1776</v>
      </c>
      <c r="I35" s="3">
        <v>742.7</v>
      </c>
      <c r="J35" s="3">
        <v>12</v>
      </c>
      <c r="K35" s="3">
        <v>144357.20000000001</v>
      </c>
      <c r="L35" s="3">
        <v>331.53</v>
      </c>
      <c r="M35" s="3">
        <v>37</v>
      </c>
      <c r="N35" s="3">
        <v>0.83860000000000001</v>
      </c>
      <c r="O35" s="3">
        <v>57.46</v>
      </c>
      <c r="P35" s="3">
        <v>19.049700000000001</v>
      </c>
      <c r="Q35" s="3">
        <v>3.6999999999999998E-2</v>
      </c>
      <c r="R35" s="3">
        <v>121.0579</v>
      </c>
      <c r="S35" s="3">
        <v>140.1446</v>
      </c>
      <c r="T35" s="3" t="s">
        <v>506</v>
      </c>
    </row>
    <row r="36" spans="1:20" x14ac:dyDescent="0.25">
      <c r="A36" s="2">
        <v>33</v>
      </c>
      <c r="B36" s="2">
        <v>2023</v>
      </c>
      <c r="C36" s="2" t="s">
        <v>22</v>
      </c>
      <c r="D36" s="2" t="s">
        <v>1811</v>
      </c>
      <c r="E36" s="2" t="s">
        <v>1763</v>
      </c>
      <c r="F36" s="2" t="s">
        <v>1775</v>
      </c>
      <c r="G36" s="2" t="s">
        <v>120</v>
      </c>
      <c r="H36" s="2" t="s">
        <v>1786</v>
      </c>
      <c r="I36" s="2">
        <v>200</v>
      </c>
      <c r="J36" s="2">
        <v>10</v>
      </c>
      <c r="K36" s="2">
        <v>37530.400000000001</v>
      </c>
      <c r="L36" s="2">
        <v>39.51</v>
      </c>
      <c r="M36" s="2">
        <v>273.3</v>
      </c>
      <c r="N36" s="2">
        <v>0.68030000000000002</v>
      </c>
      <c r="O36" s="2">
        <v>57.11</v>
      </c>
      <c r="P36" s="2">
        <v>2.2564000000000002</v>
      </c>
      <c r="Q36" s="2">
        <v>0.27329999999999999</v>
      </c>
      <c r="R36" s="2">
        <v>25.5319</v>
      </c>
      <c r="S36" s="2">
        <v>28.061599999999999</v>
      </c>
      <c r="T36" s="2" t="s">
        <v>1758</v>
      </c>
    </row>
    <row r="37" spans="1:20" x14ac:dyDescent="0.25">
      <c r="A37" s="3">
        <v>34</v>
      </c>
      <c r="B37" s="3">
        <v>2023</v>
      </c>
      <c r="C37" s="3" t="s">
        <v>32</v>
      </c>
      <c r="D37" s="3" t="s">
        <v>1812</v>
      </c>
      <c r="E37" s="3" t="s">
        <v>1789</v>
      </c>
      <c r="F37" s="3" t="s">
        <v>1781</v>
      </c>
      <c r="G37" s="3" t="s">
        <v>88</v>
      </c>
      <c r="H37" s="3" t="s">
        <v>1783</v>
      </c>
      <c r="I37" s="3">
        <v>703</v>
      </c>
      <c r="J37" s="3">
        <v>49</v>
      </c>
      <c r="K37" s="3">
        <v>170323.20000000001</v>
      </c>
      <c r="L37" s="3">
        <v>134.47</v>
      </c>
      <c r="M37" s="3">
        <v>426.7</v>
      </c>
      <c r="N37" s="3">
        <v>0.80259999999999998</v>
      </c>
      <c r="O37" s="3">
        <v>56.89</v>
      </c>
      <c r="P37" s="3">
        <v>7.65</v>
      </c>
      <c r="Q37" s="3">
        <v>0.42670000000000002</v>
      </c>
      <c r="R37" s="3">
        <v>136.70140000000001</v>
      </c>
      <c r="S37" s="3">
        <v>144.77809999999999</v>
      </c>
      <c r="T37" s="3" t="s">
        <v>1758</v>
      </c>
    </row>
    <row r="38" spans="1:20" ht="24" x14ac:dyDescent="0.25">
      <c r="A38" s="2">
        <v>35</v>
      </c>
      <c r="B38" s="2">
        <v>2023</v>
      </c>
      <c r="C38" s="2" t="s">
        <v>39</v>
      </c>
      <c r="D38" s="2" t="s">
        <v>1813</v>
      </c>
      <c r="E38" s="2" t="s">
        <v>1789</v>
      </c>
      <c r="F38" s="2" t="s">
        <v>1764</v>
      </c>
      <c r="G38" s="2" t="s">
        <v>154</v>
      </c>
      <c r="H38" s="2" t="s">
        <v>1772</v>
      </c>
      <c r="I38" s="2">
        <v>395.6</v>
      </c>
      <c r="J38" s="2">
        <v>26</v>
      </c>
      <c r="K38" s="2">
        <v>55303.7</v>
      </c>
      <c r="L38" s="2">
        <v>192.72</v>
      </c>
      <c r="M38" s="2">
        <v>129.5</v>
      </c>
      <c r="N38" s="2">
        <v>0.65180000000000005</v>
      </c>
      <c r="O38" s="2">
        <v>57.87</v>
      </c>
      <c r="P38" s="2">
        <v>11.152699999999999</v>
      </c>
      <c r="Q38" s="2">
        <v>0.1295</v>
      </c>
      <c r="R38" s="2">
        <v>36.046999999999997</v>
      </c>
      <c r="S38" s="2">
        <v>47.3292</v>
      </c>
      <c r="T38" s="2" t="s">
        <v>1773</v>
      </c>
    </row>
    <row r="39" spans="1:20" x14ac:dyDescent="0.25">
      <c r="A39" s="3">
        <v>36</v>
      </c>
      <c r="B39" s="3">
        <v>2023</v>
      </c>
      <c r="C39" s="3" t="s">
        <v>46</v>
      </c>
      <c r="D39" s="3" t="s">
        <v>1814</v>
      </c>
      <c r="E39" s="3" t="s">
        <v>1767</v>
      </c>
      <c r="F39" s="3" t="s">
        <v>1771</v>
      </c>
      <c r="G39" s="3" t="s">
        <v>120</v>
      </c>
      <c r="H39" s="3" t="s">
        <v>1769</v>
      </c>
      <c r="I39" s="3">
        <v>347.2</v>
      </c>
      <c r="J39" s="3">
        <v>36</v>
      </c>
      <c r="K39" s="3">
        <v>90139.9</v>
      </c>
      <c r="L39" s="3">
        <v>147.30000000000001</v>
      </c>
      <c r="M39" s="3">
        <v>30.1</v>
      </c>
      <c r="N39" s="3">
        <v>0.8448</v>
      </c>
      <c r="O39" s="3">
        <v>56.75</v>
      </c>
      <c r="P39" s="3">
        <v>8.3592999999999993</v>
      </c>
      <c r="Q39" s="3">
        <v>3.0099999999999998E-2</v>
      </c>
      <c r="R39" s="3">
        <v>76.150199999999998</v>
      </c>
      <c r="S39" s="3">
        <v>84.539599999999993</v>
      </c>
      <c r="T39" s="3" t="s">
        <v>506</v>
      </c>
    </row>
    <row r="40" spans="1:20" x14ac:dyDescent="0.25">
      <c r="A40" s="2">
        <v>37</v>
      </c>
      <c r="B40" s="2">
        <v>2023</v>
      </c>
      <c r="C40" s="2" t="s">
        <v>22</v>
      </c>
      <c r="D40" s="2" t="s">
        <v>1815</v>
      </c>
      <c r="E40" s="2" t="s">
        <v>1755</v>
      </c>
      <c r="F40" s="2" t="s">
        <v>1761</v>
      </c>
      <c r="G40" s="2" t="s">
        <v>110</v>
      </c>
      <c r="H40" s="2" t="s">
        <v>1779</v>
      </c>
      <c r="I40" s="2">
        <v>419</v>
      </c>
      <c r="J40" s="2">
        <v>41</v>
      </c>
      <c r="K40" s="2">
        <v>69868.5</v>
      </c>
      <c r="L40" s="2">
        <v>33.6</v>
      </c>
      <c r="M40" s="2">
        <v>37.799999999999997</v>
      </c>
      <c r="N40" s="2">
        <v>0.39610000000000001</v>
      </c>
      <c r="O40" s="2">
        <v>57.12</v>
      </c>
      <c r="P40" s="2">
        <v>1.9192</v>
      </c>
      <c r="Q40" s="2">
        <v>3.78E-2</v>
      </c>
      <c r="R40" s="2">
        <v>27.674900000000001</v>
      </c>
      <c r="S40" s="2">
        <v>29.631900000000002</v>
      </c>
      <c r="T40" s="2" t="s">
        <v>506</v>
      </c>
    </row>
    <row r="41" spans="1:20" ht="24" x14ac:dyDescent="0.25">
      <c r="A41" s="3">
        <v>38</v>
      </c>
      <c r="B41" s="3">
        <v>2023</v>
      </c>
      <c r="C41" s="3" t="s">
        <v>32</v>
      </c>
      <c r="D41" s="3" t="s">
        <v>1816</v>
      </c>
      <c r="E41" s="3" t="s">
        <v>1760</v>
      </c>
      <c r="F41" s="3" t="s">
        <v>1793</v>
      </c>
      <c r="G41" s="3" t="s">
        <v>70</v>
      </c>
      <c r="H41" s="3" t="s">
        <v>1786</v>
      </c>
      <c r="I41" s="3">
        <v>741.9</v>
      </c>
      <c r="J41" s="3">
        <v>44</v>
      </c>
      <c r="K41" s="3">
        <v>170662.8</v>
      </c>
      <c r="L41" s="3">
        <v>100.82</v>
      </c>
      <c r="M41" s="3">
        <v>36.5</v>
      </c>
      <c r="N41" s="3">
        <v>0.69199999999999995</v>
      </c>
      <c r="O41" s="3">
        <v>57.64</v>
      </c>
      <c r="P41" s="3">
        <v>5.8113000000000001</v>
      </c>
      <c r="Q41" s="3">
        <v>3.6499999999999998E-2</v>
      </c>
      <c r="R41" s="3">
        <v>118.09869999999999</v>
      </c>
      <c r="S41" s="3">
        <v>123.9465</v>
      </c>
      <c r="T41" s="3" t="s">
        <v>506</v>
      </c>
    </row>
    <row r="42" spans="1:20" ht="24" x14ac:dyDescent="0.25">
      <c r="A42" s="2">
        <v>39</v>
      </c>
      <c r="B42" s="2">
        <v>2023</v>
      </c>
      <c r="C42" s="2" t="s">
        <v>39</v>
      </c>
      <c r="D42" s="2" t="s">
        <v>1817</v>
      </c>
      <c r="E42" s="2" t="s">
        <v>1760</v>
      </c>
      <c r="F42" s="2" t="s">
        <v>727</v>
      </c>
      <c r="G42" s="2" t="s">
        <v>33</v>
      </c>
      <c r="H42" s="2" t="s">
        <v>1776</v>
      </c>
      <c r="I42" s="2">
        <v>297.8</v>
      </c>
      <c r="J42" s="2">
        <v>16</v>
      </c>
      <c r="K42" s="2">
        <v>68365.3</v>
      </c>
      <c r="L42" s="2">
        <v>60.43</v>
      </c>
      <c r="M42" s="2">
        <v>263.89999999999998</v>
      </c>
      <c r="N42" s="2">
        <v>0.69630000000000003</v>
      </c>
      <c r="O42" s="2">
        <v>57.64</v>
      </c>
      <c r="P42" s="2">
        <v>3.4832000000000001</v>
      </c>
      <c r="Q42" s="2">
        <v>0.26390000000000002</v>
      </c>
      <c r="R42" s="2">
        <v>47.602800000000002</v>
      </c>
      <c r="S42" s="2">
        <v>51.349899999999998</v>
      </c>
      <c r="T42" s="2" t="s">
        <v>1758</v>
      </c>
    </row>
    <row r="43" spans="1:20" x14ac:dyDescent="0.25">
      <c r="A43" s="3">
        <v>40</v>
      </c>
      <c r="B43" s="3">
        <v>2023</v>
      </c>
      <c r="C43" s="3" t="s">
        <v>46</v>
      </c>
      <c r="D43" s="3" t="s">
        <v>1818</v>
      </c>
      <c r="E43" s="3" t="s">
        <v>1763</v>
      </c>
      <c r="F43" s="3" t="s">
        <v>1761</v>
      </c>
      <c r="G43" s="3" t="s">
        <v>204</v>
      </c>
      <c r="H43" s="3" t="s">
        <v>1757</v>
      </c>
      <c r="I43" s="3">
        <v>517.79999999999995</v>
      </c>
      <c r="J43" s="3">
        <v>29</v>
      </c>
      <c r="K43" s="3">
        <v>53734.3</v>
      </c>
      <c r="L43" s="3">
        <v>78.37</v>
      </c>
      <c r="M43" s="3">
        <v>213.6</v>
      </c>
      <c r="N43" s="3">
        <v>0.47939999999999999</v>
      </c>
      <c r="O43" s="3">
        <v>56.45</v>
      </c>
      <c r="P43" s="3">
        <v>4.4240000000000004</v>
      </c>
      <c r="Q43" s="3">
        <v>0.21360000000000001</v>
      </c>
      <c r="R43" s="3">
        <v>25.760200000000001</v>
      </c>
      <c r="S43" s="3">
        <v>30.3978</v>
      </c>
      <c r="T43" s="3" t="s">
        <v>506</v>
      </c>
    </row>
    <row r="44" spans="1:20" ht="24" x14ac:dyDescent="0.25">
      <c r="A44" s="2">
        <v>41</v>
      </c>
      <c r="B44" s="2">
        <v>2023</v>
      </c>
      <c r="C44" s="2" t="s">
        <v>22</v>
      </c>
      <c r="D44" s="2" t="s">
        <v>1819</v>
      </c>
      <c r="E44" s="2" t="s">
        <v>1755</v>
      </c>
      <c r="F44" s="2" t="s">
        <v>1761</v>
      </c>
      <c r="G44" s="2" t="s">
        <v>58</v>
      </c>
      <c r="H44" s="2" t="s">
        <v>1765</v>
      </c>
      <c r="I44" s="2">
        <v>744</v>
      </c>
      <c r="J44" s="2">
        <v>50</v>
      </c>
      <c r="K44" s="2">
        <v>203445.8</v>
      </c>
      <c r="L44" s="2">
        <v>88.29</v>
      </c>
      <c r="M44" s="2">
        <v>386.5</v>
      </c>
      <c r="N44" s="2">
        <v>0.4531</v>
      </c>
      <c r="O44" s="2">
        <v>56.36</v>
      </c>
      <c r="P44" s="2">
        <v>4.976</v>
      </c>
      <c r="Q44" s="2">
        <v>0.38650000000000001</v>
      </c>
      <c r="R44" s="2">
        <v>92.181299999999993</v>
      </c>
      <c r="S44" s="2">
        <v>97.543800000000005</v>
      </c>
      <c r="T44" s="2" t="s">
        <v>1758</v>
      </c>
    </row>
    <row r="45" spans="1:20" ht="24" x14ac:dyDescent="0.25">
      <c r="A45" s="3">
        <v>42</v>
      </c>
      <c r="B45" s="3">
        <v>2023</v>
      </c>
      <c r="C45" s="3" t="s">
        <v>32</v>
      </c>
      <c r="D45" s="3" t="s">
        <v>1820</v>
      </c>
      <c r="E45" s="3" t="s">
        <v>1760</v>
      </c>
      <c r="F45" s="3" t="s">
        <v>743</v>
      </c>
      <c r="G45" s="3" t="s">
        <v>65</v>
      </c>
      <c r="H45" s="3" t="s">
        <v>1757</v>
      </c>
      <c r="I45" s="3">
        <v>455.1</v>
      </c>
      <c r="J45" s="3">
        <v>9</v>
      </c>
      <c r="K45" s="3">
        <v>75315.5</v>
      </c>
      <c r="L45" s="3">
        <v>87.33</v>
      </c>
      <c r="M45" s="3">
        <v>115.1</v>
      </c>
      <c r="N45" s="3">
        <v>0.45440000000000003</v>
      </c>
      <c r="O45" s="3">
        <v>56.61</v>
      </c>
      <c r="P45" s="3">
        <v>4.9438000000000004</v>
      </c>
      <c r="Q45" s="3">
        <v>0.11509999999999999</v>
      </c>
      <c r="R45" s="3">
        <v>34.223399999999998</v>
      </c>
      <c r="S45" s="3">
        <v>39.282299999999999</v>
      </c>
      <c r="T45" s="3" t="s">
        <v>1773</v>
      </c>
    </row>
    <row r="46" spans="1:20" ht="24" x14ac:dyDescent="0.25">
      <c r="A46" s="2">
        <v>43</v>
      </c>
      <c r="B46" s="2">
        <v>2023</v>
      </c>
      <c r="C46" s="2" t="s">
        <v>39</v>
      </c>
      <c r="D46" s="2" t="s">
        <v>1821</v>
      </c>
      <c r="E46" s="2" t="s">
        <v>1789</v>
      </c>
      <c r="F46" s="2" t="s">
        <v>1771</v>
      </c>
      <c r="G46" s="2" t="s">
        <v>120</v>
      </c>
      <c r="H46" s="2" t="s">
        <v>1783</v>
      </c>
      <c r="I46" s="2">
        <v>70.5</v>
      </c>
      <c r="J46" s="2">
        <v>33</v>
      </c>
      <c r="K46" s="2">
        <v>8785.9</v>
      </c>
      <c r="L46" s="2">
        <v>33.6</v>
      </c>
      <c r="M46" s="2">
        <v>12.7</v>
      </c>
      <c r="N46" s="2">
        <v>0.78380000000000005</v>
      </c>
      <c r="O46" s="2">
        <v>57.71</v>
      </c>
      <c r="P46" s="2">
        <v>1.9391</v>
      </c>
      <c r="Q46" s="2">
        <v>1.2699999999999999E-2</v>
      </c>
      <c r="R46" s="2">
        <v>6.8864000000000001</v>
      </c>
      <c r="S46" s="2">
        <v>8.8382000000000005</v>
      </c>
      <c r="T46" s="2" t="s">
        <v>1773</v>
      </c>
    </row>
    <row r="47" spans="1:20" x14ac:dyDescent="0.25">
      <c r="A47" s="3">
        <v>44</v>
      </c>
      <c r="B47" s="3">
        <v>2023</v>
      </c>
      <c r="C47" s="3" t="s">
        <v>46</v>
      </c>
      <c r="D47" s="3" t="s">
        <v>1822</v>
      </c>
      <c r="E47" s="3" t="s">
        <v>1767</v>
      </c>
      <c r="F47" s="3" t="s">
        <v>1775</v>
      </c>
      <c r="G47" s="3" t="s">
        <v>139</v>
      </c>
      <c r="H47" s="3" t="s">
        <v>1779</v>
      </c>
      <c r="I47" s="3">
        <v>349.4</v>
      </c>
      <c r="J47" s="3">
        <v>18</v>
      </c>
      <c r="K47" s="3">
        <v>88816.3</v>
      </c>
      <c r="L47" s="3">
        <v>110.27</v>
      </c>
      <c r="M47" s="3">
        <v>62.3</v>
      </c>
      <c r="N47" s="3">
        <v>0.83460000000000001</v>
      </c>
      <c r="O47" s="3">
        <v>57.01</v>
      </c>
      <c r="P47" s="3">
        <v>6.2865000000000002</v>
      </c>
      <c r="Q47" s="3">
        <v>6.2300000000000001E-2</v>
      </c>
      <c r="R47" s="3">
        <v>74.126099999999994</v>
      </c>
      <c r="S47" s="3">
        <v>80.474900000000005</v>
      </c>
      <c r="T47" s="3" t="s">
        <v>1758</v>
      </c>
    </row>
    <row r="48" spans="1:20" ht="24" x14ac:dyDescent="0.25">
      <c r="A48" s="2">
        <v>45</v>
      </c>
      <c r="B48" s="2">
        <v>2023</v>
      </c>
      <c r="C48" s="2" t="s">
        <v>22</v>
      </c>
      <c r="D48" s="2" t="s">
        <v>1823</v>
      </c>
      <c r="E48" s="2" t="s">
        <v>1789</v>
      </c>
      <c r="F48" s="2" t="s">
        <v>1764</v>
      </c>
      <c r="G48" s="2" t="s">
        <v>92</v>
      </c>
      <c r="H48" s="2" t="s">
        <v>1769</v>
      </c>
      <c r="I48" s="2">
        <v>617.5</v>
      </c>
      <c r="J48" s="2">
        <v>12</v>
      </c>
      <c r="K48" s="2">
        <v>177925.9</v>
      </c>
      <c r="L48" s="2">
        <v>236.68</v>
      </c>
      <c r="M48" s="2">
        <v>179.2</v>
      </c>
      <c r="N48" s="2">
        <v>0.84770000000000001</v>
      </c>
      <c r="O48" s="2">
        <v>56.83</v>
      </c>
      <c r="P48" s="2">
        <v>13.4505</v>
      </c>
      <c r="Q48" s="2">
        <v>0.1792</v>
      </c>
      <c r="R48" s="2">
        <v>150.8278</v>
      </c>
      <c r="S48" s="2">
        <v>164.45750000000001</v>
      </c>
      <c r="T48" s="2" t="s">
        <v>1773</v>
      </c>
    </row>
    <row r="49" spans="1:20" x14ac:dyDescent="0.25">
      <c r="A49" s="3">
        <v>46</v>
      </c>
      <c r="B49" s="3">
        <v>2023</v>
      </c>
      <c r="C49" s="3" t="s">
        <v>32</v>
      </c>
      <c r="D49" s="3" t="s">
        <v>1824</v>
      </c>
      <c r="E49" s="3" t="s">
        <v>1755</v>
      </c>
      <c r="F49" s="3" t="s">
        <v>1756</v>
      </c>
      <c r="G49" s="3" t="s">
        <v>88</v>
      </c>
      <c r="H49" s="3" t="s">
        <v>1776</v>
      </c>
      <c r="I49" s="3">
        <v>241.5</v>
      </c>
      <c r="J49" s="3">
        <v>12</v>
      </c>
      <c r="K49" s="3">
        <v>69788.5</v>
      </c>
      <c r="L49" s="3">
        <v>13.83</v>
      </c>
      <c r="M49" s="3">
        <v>190</v>
      </c>
      <c r="N49" s="3">
        <v>0.56000000000000005</v>
      </c>
      <c r="O49" s="3">
        <v>57.92</v>
      </c>
      <c r="P49" s="3">
        <v>0.80100000000000005</v>
      </c>
      <c r="Q49" s="3">
        <v>0.19</v>
      </c>
      <c r="R49" s="3">
        <v>39.081600000000002</v>
      </c>
      <c r="S49" s="3">
        <v>40.072600000000001</v>
      </c>
      <c r="T49" s="3" t="s">
        <v>1758</v>
      </c>
    </row>
    <row r="50" spans="1:20" ht="24" x14ac:dyDescent="0.25">
      <c r="A50" s="2">
        <v>47</v>
      </c>
      <c r="B50" s="2">
        <v>2023</v>
      </c>
      <c r="C50" s="2" t="s">
        <v>39</v>
      </c>
      <c r="D50" s="2" t="s">
        <v>1825</v>
      </c>
      <c r="E50" s="2" t="s">
        <v>1760</v>
      </c>
      <c r="F50" s="2" t="s">
        <v>727</v>
      </c>
      <c r="G50" s="2" t="s">
        <v>117</v>
      </c>
      <c r="H50" s="2" t="s">
        <v>1769</v>
      </c>
      <c r="I50" s="2">
        <v>375.6</v>
      </c>
      <c r="J50" s="2">
        <v>59</v>
      </c>
      <c r="K50" s="2">
        <v>86538.4</v>
      </c>
      <c r="L50" s="2">
        <v>57.55</v>
      </c>
      <c r="M50" s="2">
        <v>350.6</v>
      </c>
      <c r="N50" s="2">
        <v>0.67520000000000002</v>
      </c>
      <c r="O50" s="2">
        <v>57.62</v>
      </c>
      <c r="P50" s="2">
        <v>3.3159999999999998</v>
      </c>
      <c r="Q50" s="2">
        <v>0.35060000000000002</v>
      </c>
      <c r="R50" s="2">
        <v>58.430700000000002</v>
      </c>
      <c r="S50" s="2">
        <v>62.097299999999997</v>
      </c>
      <c r="T50" s="2" t="s">
        <v>1758</v>
      </c>
    </row>
    <row r="51" spans="1:20" x14ac:dyDescent="0.25">
      <c r="A51" s="3">
        <v>48</v>
      </c>
      <c r="B51" s="3">
        <v>2023</v>
      </c>
      <c r="C51" s="3" t="s">
        <v>46</v>
      </c>
      <c r="D51" s="3" t="s">
        <v>1826</v>
      </c>
      <c r="E51" s="3" t="s">
        <v>1755</v>
      </c>
      <c r="F51" s="3" t="s">
        <v>727</v>
      </c>
      <c r="G51" s="3" t="s">
        <v>58</v>
      </c>
      <c r="H51" s="3" t="s">
        <v>1757</v>
      </c>
      <c r="I51" s="3">
        <v>155.6</v>
      </c>
      <c r="J51" s="3">
        <v>20</v>
      </c>
      <c r="K51" s="3">
        <v>21079.4</v>
      </c>
      <c r="L51" s="3">
        <v>8.43</v>
      </c>
      <c r="M51" s="3">
        <v>259.3</v>
      </c>
      <c r="N51" s="3">
        <v>0.42009999999999997</v>
      </c>
      <c r="O51" s="3">
        <v>56.94</v>
      </c>
      <c r="P51" s="3">
        <v>0.48</v>
      </c>
      <c r="Q51" s="3">
        <v>0.25929999999999997</v>
      </c>
      <c r="R51" s="3">
        <v>8.8554999999999993</v>
      </c>
      <c r="S51" s="3">
        <v>9.5947999999999993</v>
      </c>
      <c r="T51" s="3" t="s">
        <v>506</v>
      </c>
    </row>
    <row r="52" spans="1:20" ht="24" x14ac:dyDescent="0.25">
      <c r="A52" s="2">
        <v>49</v>
      </c>
      <c r="B52" s="2">
        <v>2023</v>
      </c>
      <c r="C52" s="2" t="s">
        <v>22</v>
      </c>
      <c r="D52" s="2" t="s">
        <v>1827</v>
      </c>
      <c r="E52" s="2" t="s">
        <v>1789</v>
      </c>
      <c r="F52" s="2" t="s">
        <v>1775</v>
      </c>
      <c r="G52" s="2" t="s">
        <v>92</v>
      </c>
      <c r="H52" s="2" t="s">
        <v>1786</v>
      </c>
      <c r="I52" s="2">
        <v>545.70000000000005</v>
      </c>
      <c r="J52" s="2">
        <v>28</v>
      </c>
      <c r="K52" s="2">
        <v>121970</v>
      </c>
      <c r="L52" s="2">
        <v>229.45</v>
      </c>
      <c r="M52" s="2">
        <v>209.6</v>
      </c>
      <c r="N52" s="2">
        <v>0.43730000000000002</v>
      </c>
      <c r="O52" s="2">
        <v>57.04</v>
      </c>
      <c r="P52" s="2">
        <v>13.0878</v>
      </c>
      <c r="Q52" s="2">
        <v>0.20960000000000001</v>
      </c>
      <c r="R52" s="2">
        <v>53.337499999999999</v>
      </c>
      <c r="S52" s="2">
        <v>66.634900000000002</v>
      </c>
      <c r="T52" s="2" t="s">
        <v>1773</v>
      </c>
    </row>
    <row r="53" spans="1:20" ht="24" x14ac:dyDescent="0.25">
      <c r="A53" s="3">
        <v>50</v>
      </c>
      <c r="B53" s="3">
        <v>2023</v>
      </c>
      <c r="C53" s="3" t="s">
        <v>32</v>
      </c>
      <c r="D53" s="3" t="s">
        <v>1828</v>
      </c>
      <c r="E53" s="3" t="s">
        <v>1763</v>
      </c>
      <c r="F53" s="3" t="s">
        <v>1790</v>
      </c>
      <c r="G53" s="3" t="s">
        <v>88</v>
      </c>
      <c r="H53" s="3" t="s">
        <v>1765</v>
      </c>
      <c r="I53" s="3">
        <v>709.3</v>
      </c>
      <c r="J53" s="3">
        <v>12</v>
      </c>
      <c r="K53" s="3">
        <v>182510.9</v>
      </c>
      <c r="L53" s="3">
        <v>45.03</v>
      </c>
      <c r="M53" s="3">
        <v>102</v>
      </c>
      <c r="N53" s="3">
        <v>0.55179999999999996</v>
      </c>
      <c r="O53" s="3">
        <v>56.75</v>
      </c>
      <c r="P53" s="3">
        <v>2.5554999999999999</v>
      </c>
      <c r="Q53" s="3">
        <v>0.10199999999999999</v>
      </c>
      <c r="R53" s="3">
        <v>100.70950000000001</v>
      </c>
      <c r="S53" s="3">
        <v>103.367</v>
      </c>
      <c r="T53" s="3" t="s">
        <v>1758</v>
      </c>
    </row>
    <row r="54" spans="1:20" x14ac:dyDescent="0.25">
      <c r="A54" s="2">
        <v>51</v>
      </c>
      <c r="B54" s="2">
        <v>2023</v>
      </c>
      <c r="C54" s="2" t="s">
        <v>39</v>
      </c>
      <c r="D54" s="2" t="s">
        <v>1829</v>
      </c>
      <c r="E54" s="2" t="s">
        <v>1767</v>
      </c>
      <c r="F54" s="2" t="s">
        <v>1775</v>
      </c>
      <c r="G54" s="2" t="s">
        <v>139</v>
      </c>
      <c r="H54" s="2" t="s">
        <v>1786</v>
      </c>
      <c r="I54" s="2">
        <v>298.7</v>
      </c>
      <c r="J54" s="2">
        <v>35</v>
      </c>
      <c r="K54" s="2">
        <v>31914.5</v>
      </c>
      <c r="L54" s="2">
        <v>132.15</v>
      </c>
      <c r="M54" s="2">
        <v>456.8</v>
      </c>
      <c r="N54" s="2">
        <v>0.37319999999999998</v>
      </c>
      <c r="O54" s="2">
        <v>56.75</v>
      </c>
      <c r="P54" s="2">
        <v>7.4995000000000003</v>
      </c>
      <c r="Q54" s="2">
        <v>0.45679999999999998</v>
      </c>
      <c r="R54" s="2">
        <v>11.910500000000001</v>
      </c>
      <c r="S54" s="2">
        <v>19.866800000000001</v>
      </c>
      <c r="T54" s="2" t="s">
        <v>1758</v>
      </c>
    </row>
    <row r="55" spans="1:20" ht="24" x14ac:dyDescent="0.25">
      <c r="A55" s="3">
        <v>52</v>
      </c>
      <c r="B55" s="3">
        <v>2023</v>
      </c>
      <c r="C55" s="3" t="s">
        <v>46</v>
      </c>
      <c r="D55" s="3" t="s">
        <v>1830</v>
      </c>
      <c r="E55" s="3" t="s">
        <v>1760</v>
      </c>
      <c r="F55" s="3" t="s">
        <v>1761</v>
      </c>
      <c r="G55" s="3" t="s">
        <v>204</v>
      </c>
      <c r="H55" s="3" t="s">
        <v>1786</v>
      </c>
      <c r="I55" s="3">
        <v>125.1</v>
      </c>
      <c r="J55" s="3">
        <v>27</v>
      </c>
      <c r="K55" s="3">
        <v>34957.699999999997</v>
      </c>
      <c r="L55" s="3">
        <v>11.44</v>
      </c>
      <c r="M55" s="3">
        <v>494.1</v>
      </c>
      <c r="N55" s="3">
        <v>0.40620000000000001</v>
      </c>
      <c r="O55" s="3">
        <v>56.95</v>
      </c>
      <c r="P55" s="3">
        <v>0.65149999999999997</v>
      </c>
      <c r="Q55" s="3">
        <v>0.49409999999999998</v>
      </c>
      <c r="R55" s="3">
        <v>14.1998</v>
      </c>
      <c r="S55" s="3">
        <v>15.3454</v>
      </c>
      <c r="T55" s="3" t="s">
        <v>506</v>
      </c>
    </row>
    <row r="56" spans="1:20" ht="24" x14ac:dyDescent="0.25">
      <c r="A56" s="2">
        <v>53</v>
      </c>
      <c r="B56" s="2">
        <v>2023</v>
      </c>
      <c r="C56" s="2" t="s">
        <v>22</v>
      </c>
      <c r="D56" s="2" t="s">
        <v>1831</v>
      </c>
      <c r="E56" s="2" t="s">
        <v>1763</v>
      </c>
      <c r="F56" s="2" t="s">
        <v>1790</v>
      </c>
      <c r="G56" s="2" t="s">
        <v>154</v>
      </c>
      <c r="H56" s="2" t="s">
        <v>1779</v>
      </c>
      <c r="I56" s="2">
        <v>657.1</v>
      </c>
      <c r="J56" s="2">
        <v>5</v>
      </c>
      <c r="K56" s="2">
        <v>106638.2</v>
      </c>
      <c r="L56" s="2">
        <v>171.68</v>
      </c>
      <c r="M56" s="2">
        <v>451.4</v>
      </c>
      <c r="N56" s="2">
        <v>0.41410000000000002</v>
      </c>
      <c r="O56" s="2">
        <v>57.31</v>
      </c>
      <c r="P56" s="2">
        <v>9.8390000000000004</v>
      </c>
      <c r="Q56" s="2">
        <v>0.45140000000000002</v>
      </c>
      <c r="R56" s="2">
        <v>44.158900000000003</v>
      </c>
      <c r="S56" s="2">
        <v>54.449300000000001</v>
      </c>
      <c r="T56" s="2" t="s">
        <v>1773</v>
      </c>
    </row>
    <row r="57" spans="1:20" x14ac:dyDescent="0.25">
      <c r="A57" s="3">
        <v>54</v>
      </c>
      <c r="B57" s="3">
        <v>2023</v>
      </c>
      <c r="C57" s="3" t="s">
        <v>32</v>
      </c>
      <c r="D57" s="3" t="s">
        <v>1832</v>
      </c>
      <c r="E57" s="3" t="s">
        <v>1789</v>
      </c>
      <c r="F57" s="3" t="s">
        <v>1768</v>
      </c>
      <c r="G57" s="3" t="s">
        <v>24</v>
      </c>
      <c r="H57" s="3" t="s">
        <v>1779</v>
      </c>
      <c r="I57" s="3">
        <v>419.6</v>
      </c>
      <c r="J57" s="3">
        <v>58</v>
      </c>
      <c r="K57" s="3">
        <v>113457.2</v>
      </c>
      <c r="L57" s="3">
        <v>58.04</v>
      </c>
      <c r="M57" s="3">
        <v>109.7</v>
      </c>
      <c r="N57" s="3">
        <v>0.41489999999999999</v>
      </c>
      <c r="O57" s="3">
        <v>57.88</v>
      </c>
      <c r="P57" s="3">
        <v>3.3593999999999999</v>
      </c>
      <c r="Q57" s="3">
        <v>0.10970000000000001</v>
      </c>
      <c r="R57" s="3">
        <v>47.073399999999999</v>
      </c>
      <c r="S57" s="3">
        <v>50.542499999999997</v>
      </c>
      <c r="T57" s="3" t="s">
        <v>506</v>
      </c>
    </row>
    <row r="58" spans="1:20" ht="24" x14ac:dyDescent="0.25">
      <c r="A58" s="2">
        <v>55</v>
      </c>
      <c r="B58" s="2">
        <v>2023</v>
      </c>
      <c r="C58" s="2" t="s">
        <v>39</v>
      </c>
      <c r="D58" s="2" t="s">
        <v>1833</v>
      </c>
      <c r="E58" s="2" t="s">
        <v>1760</v>
      </c>
      <c r="F58" s="2" t="s">
        <v>1768</v>
      </c>
      <c r="G58" s="2" t="s">
        <v>58</v>
      </c>
      <c r="H58" s="2" t="s">
        <v>1776</v>
      </c>
      <c r="I58" s="2">
        <v>352.9</v>
      </c>
      <c r="J58" s="2">
        <v>44</v>
      </c>
      <c r="K58" s="2">
        <v>42717</v>
      </c>
      <c r="L58" s="2">
        <v>53.57</v>
      </c>
      <c r="M58" s="2">
        <v>92.3</v>
      </c>
      <c r="N58" s="2">
        <v>0.67969999999999997</v>
      </c>
      <c r="O58" s="2">
        <v>56.66</v>
      </c>
      <c r="P58" s="2">
        <v>3.0352999999999999</v>
      </c>
      <c r="Q58" s="2">
        <v>9.2299999999999993E-2</v>
      </c>
      <c r="R58" s="2">
        <v>29.034700000000001</v>
      </c>
      <c r="S58" s="2">
        <v>32.162300000000002</v>
      </c>
      <c r="T58" s="2" t="s">
        <v>1758</v>
      </c>
    </row>
    <row r="59" spans="1:20" ht="24" x14ac:dyDescent="0.25">
      <c r="A59" s="3">
        <v>56</v>
      </c>
      <c r="B59" s="3">
        <v>2023</v>
      </c>
      <c r="C59" s="3" t="s">
        <v>46</v>
      </c>
      <c r="D59" s="3" t="s">
        <v>1834</v>
      </c>
      <c r="E59" s="3" t="s">
        <v>1760</v>
      </c>
      <c r="F59" s="3" t="s">
        <v>1768</v>
      </c>
      <c r="G59" s="3" t="s">
        <v>120</v>
      </c>
      <c r="H59" s="3" t="s">
        <v>1757</v>
      </c>
      <c r="I59" s="3">
        <v>296</v>
      </c>
      <c r="J59" s="3">
        <v>28</v>
      </c>
      <c r="K59" s="3">
        <v>68743.100000000006</v>
      </c>
      <c r="L59" s="3">
        <v>91.97</v>
      </c>
      <c r="M59" s="3">
        <v>467.3</v>
      </c>
      <c r="N59" s="3">
        <v>0.36709999999999998</v>
      </c>
      <c r="O59" s="3">
        <v>57.81</v>
      </c>
      <c r="P59" s="3">
        <v>5.3167999999999997</v>
      </c>
      <c r="Q59" s="3">
        <v>0.46729999999999999</v>
      </c>
      <c r="R59" s="3">
        <v>25.235600000000002</v>
      </c>
      <c r="S59" s="3">
        <v>31.0197</v>
      </c>
      <c r="T59" s="3" t="s">
        <v>1758</v>
      </c>
    </row>
    <row r="60" spans="1:20" ht="24" x14ac:dyDescent="0.25">
      <c r="A60" s="2">
        <v>57</v>
      </c>
      <c r="B60" s="2">
        <v>2023</v>
      </c>
      <c r="C60" s="2" t="s">
        <v>22</v>
      </c>
      <c r="D60" s="2" t="s">
        <v>1835</v>
      </c>
      <c r="E60" s="2" t="s">
        <v>1760</v>
      </c>
      <c r="F60" s="2" t="s">
        <v>1756</v>
      </c>
      <c r="G60" s="2" t="s">
        <v>65</v>
      </c>
      <c r="H60" s="2" t="s">
        <v>1772</v>
      </c>
      <c r="I60" s="2">
        <v>60.7</v>
      </c>
      <c r="J60" s="2">
        <v>45</v>
      </c>
      <c r="K60" s="2">
        <v>6484.1</v>
      </c>
      <c r="L60" s="2">
        <v>24.74</v>
      </c>
      <c r="M60" s="2">
        <v>80.900000000000006</v>
      </c>
      <c r="N60" s="2">
        <v>0.51129999999999998</v>
      </c>
      <c r="O60" s="2">
        <v>57.14</v>
      </c>
      <c r="P60" s="2">
        <v>1.4136</v>
      </c>
      <c r="Q60" s="2">
        <v>8.09E-2</v>
      </c>
      <c r="R60" s="2">
        <v>3.3153000000000001</v>
      </c>
      <c r="S60" s="2">
        <v>4.8098000000000001</v>
      </c>
      <c r="T60" s="2" t="s">
        <v>1773</v>
      </c>
    </row>
    <row r="61" spans="1:20" ht="24" x14ac:dyDescent="0.25">
      <c r="A61" s="3">
        <v>58</v>
      </c>
      <c r="B61" s="3">
        <v>2023</v>
      </c>
      <c r="C61" s="3" t="s">
        <v>32</v>
      </c>
      <c r="D61" s="3" t="s">
        <v>1836</v>
      </c>
      <c r="E61" s="3" t="s">
        <v>1763</v>
      </c>
      <c r="F61" s="3" t="s">
        <v>1756</v>
      </c>
      <c r="G61" s="3" t="s">
        <v>70</v>
      </c>
      <c r="H61" s="3" t="s">
        <v>1786</v>
      </c>
      <c r="I61" s="3">
        <v>794.5</v>
      </c>
      <c r="J61" s="3">
        <v>34</v>
      </c>
      <c r="K61" s="3">
        <v>178176.6</v>
      </c>
      <c r="L61" s="3">
        <v>234.89</v>
      </c>
      <c r="M61" s="3">
        <v>58.9</v>
      </c>
      <c r="N61" s="3">
        <v>0.48970000000000002</v>
      </c>
      <c r="O61" s="3">
        <v>57.54</v>
      </c>
      <c r="P61" s="3">
        <v>13.515599999999999</v>
      </c>
      <c r="Q61" s="3">
        <v>5.8900000000000001E-2</v>
      </c>
      <c r="R61" s="3">
        <v>87.253100000000003</v>
      </c>
      <c r="S61" s="3">
        <v>100.8276</v>
      </c>
      <c r="T61" s="3" t="s">
        <v>1773</v>
      </c>
    </row>
    <row r="62" spans="1:20" ht="24" x14ac:dyDescent="0.25">
      <c r="A62" s="2">
        <v>59</v>
      </c>
      <c r="B62" s="2">
        <v>2023</v>
      </c>
      <c r="C62" s="2" t="s">
        <v>39</v>
      </c>
      <c r="D62" s="2" t="s">
        <v>1837</v>
      </c>
      <c r="E62" s="2" t="s">
        <v>1767</v>
      </c>
      <c r="F62" s="2" t="s">
        <v>743</v>
      </c>
      <c r="G62" s="2" t="s">
        <v>24</v>
      </c>
      <c r="H62" s="2" t="s">
        <v>1769</v>
      </c>
      <c r="I62" s="2">
        <v>305.7</v>
      </c>
      <c r="J62" s="2">
        <v>60</v>
      </c>
      <c r="K62" s="2">
        <v>60366.9</v>
      </c>
      <c r="L62" s="2">
        <v>90.79</v>
      </c>
      <c r="M62" s="2">
        <v>331.6</v>
      </c>
      <c r="N62" s="2">
        <v>0.68400000000000005</v>
      </c>
      <c r="O62" s="2">
        <v>56.68</v>
      </c>
      <c r="P62" s="2">
        <v>5.1459999999999999</v>
      </c>
      <c r="Q62" s="2">
        <v>0.33160000000000001</v>
      </c>
      <c r="R62" s="2">
        <v>41.290999999999997</v>
      </c>
      <c r="S62" s="2">
        <v>46.768599999999999</v>
      </c>
      <c r="T62" s="2" t="s">
        <v>1773</v>
      </c>
    </row>
    <row r="63" spans="1:20" ht="24" x14ac:dyDescent="0.25">
      <c r="A63" s="3">
        <v>60</v>
      </c>
      <c r="B63" s="3">
        <v>2023</v>
      </c>
      <c r="C63" s="3" t="s">
        <v>46</v>
      </c>
      <c r="D63" s="3" t="s">
        <v>1838</v>
      </c>
      <c r="E63" s="3" t="s">
        <v>1763</v>
      </c>
      <c r="F63" s="3" t="s">
        <v>1781</v>
      </c>
      <c r="G63" s="3" t="s">
        <v>54</v>
      </c>
      <c r="H63" s="3" t="s">
        <v>1769</v>
      </c>
      <c r="I63" s="3">
        <v>531.70000000000005</v>
      </c>
      <c r="J63" s="3">
        <v>39</v>
      </c>
      <c r="K63" s="3">
        <v>66593.100000000006</v>
      </c>
      <c r="L63" s="3">
        <v>80.930000000000007</v>
      </c>
      <c r="M63" s="3">
        <v>228.7</v>
      </c>
      <c r="N63" s="3">
        <v>0.40560000000000002</v>
      </c>
      <c r="O63" s="3">
        <v>57.1</v>
      </c>
      <c r="P63" s="3">
        <v>4.6211000000000002</v>
      </c>
      <c r="Q63" s="3">
        <v>0.22869999999999999</v>
      </c>
      <c r="R63" s="3">
        <v>27.010200000000001</v>
      </c>
      <c r="S63" s="3">
        <v>31.86</v>
      </c>
      <c r="T63" s="3" t="s">
        <v>1773</v>
      </c>
    </row>
    <row r="64" spans="1:20" x14ac:dyDescent="0.25">
      <c r="A64" s="2">
        <v>61</v>
      </c>
      <c r="B64" s="2">
        <v>2023</v>
      </c>
      <c r="C64" s="2" t="s">
        <v>22</v>
      </c>
      <c r="D64" s="2" t="s">
        <v>1839</v>
      </c>
      <c r="E64" s="2" t="s">
        <v>1767</v>
      </c>
      <c r="F64" s="2" t="s">
        <v>803</v>
      </c>
      <c r="G64" s="2" t="s">
        <v>110</v>
      </c>
      <c r="H64" s="2" t="s">
        <v>1757</v>
      </c>
      <c r="I64" s="2">
        <v>389.4</v>
      </c>
      <c r="J64" s="2">
        <v>40</v>
      </c>
      <c r="K64" s="2">
        <v>115598.2</v>
      </c>
      <c r="L64" s="2">
        <v>34.01</v>
      </c>
      <c r="M64" s="2">
        <v>433.5</v>
      </c>
      <c r="N64" s="2">
        <v>0.60240000000000005</v>
      </c>
      <c r="O64" s="2">
        <v>56.8</v>
      </c>
      <c r="P64" s="2">
        <v>1.9318</v>
      </c>
      <c r="Q64" s="2">
        <v>0.4335</v>
      </c>
      <c r="R64" s="2">
        <v>69.636399999999995</v>
      </c>
      <c r="S64" s="2">
        <v>72.0017</v>
      </c>
      <c r="T64" s="2" t="s">
        <v>1758</v>
      </c>
    </row>
    <row r="65" spans="1:20" x14ac:dyDescent="0.25">
      <c r="A65" s="3">
        <v>62</v>
      </c>
      <c r="B65" s="3">
        <v>2023</v>
      </c>
      <c r="C65" s="3" t="s">
        <v>32</v>
      </c>
      <c r="D65" s="3" t="s">
        <v>1840</v>
      </c>
      <c r="E65" s="3" t="s">
        <v>1767</v>
      </c>
      <c r="F65" s="3" t="s">
        <v>1756</v>
      </c>
      <c r="G65" s="3" t="s">
        <v>139</v>
      </c>
      <c r="H65" s="3" t="s">
        <v>1757</v>
      </c>
      <c r="I65" s="3">
        <v>199</v>
      </c>
      <c r="J65" s="3">
        <v>52</v>
      </c>
      <c r="K65" s="3">
        <v>33986.699999999997</v>
      </c>
      <c r="L65" s="3">
        <v>63.76</v>
      </c>
      <c r="M65" s="3">
        <v>75.900000000000006</v>
      </c>
      <c r="N65" s="3">
        <v>0.78</v>
      </c>
      <c r="O65" s="3">
        <v>57.05</v>
      </c>
      <c r="P65" s="3">
        <v>3.6375000000000002</v>
      </c>
      <c r="Q65" s="3">
        <v>7.5899999999999995E-2</v>
      </c>
      <c r="R65" s="3">
        <v>26.509599999999999</v>
      </c>
      <c r="S65" s="3">
        <v>30.222999999999999</v>
      </c>
      <c r="T65" s="3" t="s">
        <v>506</v>
      </c>
    </row>
    <row r="66" spans="1:20" x14ac:dyDescent="0.25">
      <c r="A66" s="2">
        <v>63</v>
      </c>
      <c r="B66" s="2">
        <v>2023</v>
      </c>
      <c r="C66" s="2" t="s">
        <v>39</v>
      </c>
      <c r="D66" s="2" t="s">
        <v>1841</v>
      </c>
      <c r="E66" s="2" t="s">
        <v>1789</v>
      </c>
      <c r="F66" s="2" t="s">
        <v>1778</v>
      </c>
      <c r="G66" s="2" t="s">
        <v>96</v>
      </c>
      <c r="H66" s="2" t="s">
        <v>1786</v>
      </c>
      <c r="I66" s="2">
        <v>760.4</v>
      </c>
      <c r="J66" s="2">
        <v>38</v>
      </c>
      <c r="K66" s="2">
        <v>101399.9</v>
      </c>
      <c r="L66" s="2">
        <v>92.34</v>
      </c>
      <c r="M66" s="2">
        <v>340.2</v>
      </c>
      <c r="N66" s="2">
        <v>0.66749999999999998</v>
      </c>
      <c r="O66" s="2">
        <v>57.72</v>
      </c>
      <c r="P66" s="2">
        <v>5.3299000000000003</v>
      </c>
      <c r="Q66" s="2">
        <v>0.3402</v>
      </c>
      <c r="R66" s="2">
        <v>67.684399999999997</v>
      </c>
      <c r="S66" s="2">
        <v>73.354500000000002</v>
      </c>
      <c r="T66" s="2" t="s">
        <v>506</v>
      </c>
    </row>
    <row r="67" spans="1:20" ht="24" x14ac:dyDescent="0.25">
      <c r="A67" s="3">
        <v>64</v>
      </c>
      <c r="B67" s="3">
        <v>2023</v>
      </c>
      <c r="C67" s="3" t="s">
        <v>46</v>
      </c>
      <c r="D67" s="3" t="s">
        <v>1842</v>
      </c>
      <c r="E67" s="3" t="s">
        <v>1760</v>
      </c>
      <c r="F67" s="3" t="s">
        <v>1761</v>
      </c>
      <c r="G67" s="3" t="s">
        <v>33</v>
      </c>
      <c r="H67" s="3" t="s">
        <v>1783</v>
      </c>
      <c r="I67" s="3">
        <v>756.6</v>
      </c>
      <c r="J67" s="3">
        <v>44</v>
      </c>
      <c r="K67" s="3">
        <v>139822.1</v>
      </c>
      <c r="L67" s="3">
        <v>106.67</v>
      </c>
      <c r="M67" s="3">
        <v>24.5</v>
      </c>
      <c r="N67" s="3">
        <v>0.83460000000000001</v>
      </c>
      <c r="O67" s="3">
        <v>56.8</v>
      </c>
      <c r="P67" s="3">
        <v>6.0589000000000004</v>
      </c>
      <c r="Q67" s="3">
        <v>2.4500000000000001E-2</v>
      </c>
      <c r="R67" s="3">
        <v>116.6955</v>
      </c>
      <c r="S67" s="3">
        <v>122.77889999999999</v>
      </c>
      <c r="T67" s="3" t="s">
        <v>1773</v>
      </c>
    </row>
    <row r="68" spans="1:20" ht="24" x14ac:dyDescent="0.25">
      <c r="A68" s="2">
        <v>65</v>
      </c>
      <c r="B68" s="2">
        <v>2023</v>
      </c>
      <c r="C68" s="2" t="s">
        <v>22</v>
      </c>
      <c r="D68" s="2" t="s">
        <v>1843</v>
      </c>
      <c r="E68" s="2" t="s">
        <v>1767</v>
      </c>
      <c r="F68" s="2" t="s">
        <v>1790</v>
      </c>
      <c r="G68" s="2" t="s">
        <v>24</v>
      </c>
      <c r="H68" s="2" t="s">
        <v>1765</v>
      </c>
      <c r="I68" s="2">
        <v>291.39999999999998</v>
      </c>
      <c r="J68" s="2">
        <v>51</v>
      </c>
      <c r="K68" s="2">
        <v>83815</v>
      </c>
      <c r="L68" s="2">
        <v>14.62</v>
      </c>
      <c r="M68" s="2">
        <v>125.7</v>
      </c>
      <c r="N68" s="2">
        <v>0.62790000000000001</v>
      </c>
      <c r="O68" s="2">
        <v>56.62</v>
      </c>
      <c r="P68" s="2">
        <v>0.82779999999999998</v>
      </c>
      <c r="Q68" s="2">
        <v>0.12570000000000001</v>
      </c>
      <c r="R68" s="2">
        <v>52.627400000000002</v>
      </c>
      <c r="S68" s="2">
        <v>53.5809</v>
      </c>
      <c r="T68" s="2" t="s">
        <v>1773</v>
      </c>
    </row>
    <row r="69" spans="1:20" x14ac:dyDescent="0.25">
      <c r="A69" s="3">
        <v>66</v>
      </c>
      <c r="B69" s="3">
        <v>2023</v>
      </c>
      <c r="C69" s="3" t="s">
        <v>32</v>
      </c>
      <c r="D69" s="3" t="s">
        <v>1844</v>
      </c>
      <c r="E69" s="3" t="s">
        <v>1789</v>
      </c>
      <c r="F69" s="3" t="s">
        <v>1768</v>
      </c>
      <c r="G69" s="3" t="s">
        <v>33</v>
      </c>
      <c r="H69" s="3" t="s">
        <v>1772</v>
      </c>
      <c r="I69" s="3">
        <v>155.19999999999999</v>
      </c>
      <c r="J69" s="3">
        <v>35</v>
      </c>
      <c r="K69" s="3">
        <v>41048.6</v>
      </c>
      <c r="L69" s="3">
        <v>61.16</v>
      </c>
      <c r="M69" s="3">
        <v>403.5</v>
      </c>
      <c r="N69" s="3">
        <v>0.82550000000000001</v>
      </c>
      <c r="O69" s="3">
        <v>56.48</v>
      </c>
      <c r="P69" s="3">
        <v>3.4542999999999999</v>
      </c>
      <c r="Q69" s="3">
        <v>0.40350000000000003</v>
      </c>
      <c r="R69" s="3">
        <v>33.885599999999997</v>
      </c>
      <c r="S69" s="3">
        <v>37.743400000000001</v>
      </c>
      <c r="T69" s="3" t="s">
        <v>506</v>
      </c>
    </row>
    <row r="70" spans="1:20" ht="24" x14ac:dyDescent="0.25">
      <c r="A70" s="2">
        <v>67</v>
      </c>
      <c r="B70" s="2">
        <v>2023</v>
      </c>
      <c r="C70" s="2" t="s">
        <v>39</v>
      </c>
      <c r="D70" s="2" t="s">
        <v>1845</v>
      </c>
      <c r="E70" s="2" t="s">
        <v>1767</v>
      </c>
      <c r="F70" s="2" t="s">
        <v>1768</v>
      </c>
      <c r="G70" s="2" t="s">
        <v>110</v>
      </c>
      <c r="H70" s="2" t="s">
        <v>1757</v>
      </c>
      <c r="I70" s="2">
        <v>195</v>
      </c>
      <c r="J70" s="2">
        <v>58</v>
      </c>
      <c r="K70" s="2">
        <v>33165.9</v>
      </c>
      <c r="L70" s="2">
        <v>29.61</v>
      </c>
      <c r="M70" s="2">
        <v>474.5</v>
      </c>
      <c r="N70" s="2">
        <v>0.42020000000000002</v>
      </c>
      <c r="O70" s="2">
        <v>56.8</v>
      </c>
      <c r="P70" s="2">
        <v>1.6818</v>
      </c>
      <c r="Q70" s="2">
        <v>0.47449999999999998</v>
      </c>
      <c r="R70" s="2">
        <v>13.936299999999999</v>
      </c>
      <c r="S70" s="2">
        <v>16.092600000000001</v>
      </c>
      <c r="T70" s="2" t="s">
        <v>1773</v>
      </c>
    </row>
    <row r="71" spans="1:20" ht="24" x14ac:dyDescent="0.25">
      <c r="A71" s="3">
        <v>68</v>
      </c>
      <c r="B71" s="3">
        <v>2023</v>
      </c>
      <c r="C71" s="3" t="s">
        <v>46</v>
      </c>
      <c r="D71" s="3" t="s">
        <v>1846</v>
      </c>
      <c r="E71" s="3" t="s">
        <v>1767</v>
      </c>
      <c r="F71" s="3" t="s">
        <v>1793</v>
      </c>
      <c r="G71" s="3" t="s">
        <v>65</v>
      </c>
      <c r="H71" s="3" t="s">
        <v>1783</v>
      </c>
      <c r="I71" s="3">
        <v>156.80000000000001</v>
      </c>
      <c r="J71" s="3">
        <v>22</v>
      </c>
      <c r="K71" s="3">
        <v>39531.9</v>
      </c>
      <c r="L71" s="3">
        <v>8.6</v>
      </c>
      <c r="M71" s="3">
        <v>58.6</v>
      </c>
      <c r="N71" s="3">
        <v>0.50560000000000005</v>
      </c>
      <c r="O71" s="3">
        <v>56.21</v>
      </c>
      <c r="P71" s="3">
        <v>0.4834</v>
      </c>
      <c r="Q71" s="3">
        <v>5.8599999999999999E-2</v>
      </c>
      <c r="R71" s="3">
        <v>19.987300000000001</v>
      </c>
      <c r="S71" s="3">
        <v>20.529299999999999</v>
      </c>
      <c r="T71" s="3" t="s">
        <v>1773</v>
      </c>
    </row>
    <row r="72" spans="1:20" ht="24" x14ac:dyDescent="0.25">
      <c r="A72" s="2">
        <v>69</v>
      </c>
      <c r="B72" s="2">
        <v>2023</v>
      </c>
      <c r="C72" s="2" t="s">
        <v>22</v>
      </c>
      <c r="D72" s="2" t="s">
        <v>1847</v>
      </c>
      <c r="E72" s="2" t="s">
        <v>1763</v>
      </c>
      <c r="F72" s="2" t="s">
        <v>743</v>
      </c>
      <c r="G72" s="2" t="s">
        <v>120</v>
      </c>
      <c r="H72" s="2" t="s">
        <v>1772</v>
      </c>
      <c r="I72" s="2">
        <v>666.7</v>
      </c>
      <c r="J72" s="2">
        <v>39</v>
      </c>
      <c r="K72" s="2">
        <v>165729.9</v>
      </c>
      <c r="L72" s="2">
        <v>169.65</v>
      </c>
      <c r="M72" s="2">
        <v>35.200000000000003</v>
      </c>
      <c r="N72" s="2">
        <v>0.83950000000000002</v>
      </c>
      <c r="O72" s="2">
        <v>57.82</v>
      </c>
      <c r="P72" s="2">
        <v>9.8092000000000006</v>
      </c>
      <c r="Q72" s="2">
        <v>3.5200000000000002E-2</v>
      </c>
      <c r="R72" s="2">
        <v>139.13030000000001</v>
      </c>
      <c r="S72" s="2">
        <v>148.97470000000001</v>
      </c>
      <c r="T72" s="2" t="s">
        <v>1773</v>
      </c>
    </row>
    <row r="73" spans="1:20" x14ac:dyDescent="0.25">
      <c r="A73" s="3">
        <v>70</v>
      </c>
      <c r="B73" s="3">
        <v>2023</v>
      </c>
      <c r="C73" s="3" t="s">
        <v>32</v>
      </c>
      <c r="D73" s="3" t="s">
        <v>1848</v>
      </c>
      <c r="E73" s="3" t="s">
        <v>1763</v>
      </c>
      <c r="F73" s="3" t="s">
        <v>803</v>
      </c>
      <c r="G73" s="3" t="s">
        <v>139</v>
      </c>
      <c r="H73" s="3" t="s">
        <v>1779</v>
      </c>
      <c r="I73" s="3">
        <v>134.6</v>
      </c>
      <c r="J73" s="3">
        <v>34</v>
      </c>
      <c r="K73" s="3">
        <v>24925.5</v>
      </c>
      <c r="L73" s="3">
        <v>16.93</v>
      </c>
      <c r="M73" s="3">
        <v>354.9</v>
      </c>
      <c r="N73" s="3">
        <v>0.78280000000000005</v>
      </c>
      <c r="O73" s="3">
        <v>56.97</v>
      </c>
      <c r="P73" s="3">
        <v>0.96450000000000002</v>
      </c>
      <c r="Q73" s="3">
        <v>0.35489999999999999</v>
      </c>
      <c r="R73" s="3">
        <v>19.511700000000001</v>
      </c>
      <c r="S73" s="3">
        <v>20.831099999999999</v>
      </c>
      <c r="T73" s="3" t="s">
        <v>1758</v>
      </c>
    </row>
    <row r="74" spans="1:20" ht="24" x14ac:dyDescent="0.25">
      <c r="A74" s="2">
        <v>71</v>
      </c>
      <c r="B74" s="2">
        <v>2023</v>
      </c>
      <c r="C74" s="2" t="s">
        <v>39</v>
      </c>
      <c r="D74" s="2" t="s">
        <v>1849</v>
      </c>
      <c r="E74" s="2" t="s">
        <v>1760</v>
      </c>
      <c r="F74" s="2" t="s">
        <v>1771</v>
      </c>
      <c r="G74" s="2" t="s">
        <v>120</v>
      </c>
      <c r="H74" s="2" t="s">
        <v>1779</v>
      </c>
      <c r="I74" s="2">
        <v>798.2</v>
      </c>
      <c r="J74" s="2">
        <v>43</v>
      </c>
      <c r="K74" s="2">
        <v>233032</v>
      </c>
      <c r="L74" s="2">
        <v>350.64</v>
      </c>
      <c r="M74" s="2">
        <v>120.6</v>
      </c>
      <c r="N74" s="2">
        <v>0.77500000000000002</v>
      </c>
      <c r="O74" s="2">
        <v>56.99</v>
      </c>
      <c r="P74" s="2">
        <v>19.983000000000001</v>
      </c>
      <c r="Q74" s="2">
        <v>0.1206</v>
      </c>
      <c r="R74" s="2">
        <v>180.59979999999999</v>
      </c>
      <c r="S74" s="2">
        <v>200.70339999999999</v>
      </c>
      <c r="T74" s="2" t="s">
        <v>1773</v>
      </c>
    </row>
    <row r="75" spans="1:20" x14ac:dyDescent="0.25">
      <c r="A75" s="3">
        <v>72</v>
      </c>
      <c r="B75" s="3">
        <v>2023</v>
      </c>
      <c r="C75" s="3" t="s">
        <v>46</v>
      </c>
      <c r="D75" s="3" t="s">
        <v>1850</v>
      </c>
      <c r="E75" s="3" t="s">
        <v>1763</v>
      </c>
      <c r="F75" s="3" t="s">
        <v>1764</v>
      </c>
      <c r="G75" s="3" t="s">
        <v>120</v>
      </c>
      <c r="H75" s="3" t="s">
        <v>1779</v>
      </c>
      <c r="I75" s="3">
        <v>681.7</v>
      </c>
      <c r="J75" s="3">
        <v>51</v>
      </c>
      <c r="K75" s="3">
        <v>105781.5</v>
      </c>
      <c r="L75" s="3">
        <v>111.29</v>
      </c>
      <c r="M75" s="3">
        <v>253.9</v>
      </c>
      <c r="N75" s="3">
        <v>0.55979999999999996</v>
      </c>
      <c r="O75" s="3">
        <v>57.67</v>
      </c>
      <c r="P75" s="3">
        <v>6.4180999999999999</v>
      </c>
      <c r="Q75" s="3">
        <v>0.25390000000000001</v>
      </c>
      <c r="R75" s="3">
        <v>59.216500000000003</v>
      </c>
      <c r="S75" s="3">
        <v>65.888499999999993</v>
      </c>
      <c r="T75" s="3" t="s">
        <v>506</v>
      </c>
    </row>
    <row r="76" spans="1:20" ht="24" x14ac:dyDescent="0.25">
      <c r="A76" s="2">
        <v>73</v>
      </c>
      <c r="B76" s="2">
        <v>2023</v>
      </c>
      <c r="C76" s="2" t="s">
        <v>22</v>
      </c>
      <c r="D76" s="2" t="s">
        <v>1851</v>
      </c>
      <c r="E76" s="2" t="s">
        <v>1760</v>
      </c>
      <c r="F76" s="2" t="s">
        <v>1761</v>
      </c>
      <c r="G76" s="2" t="s">
        <v>58</v>
      </c>
      <c r="H76" s="2" t="s">
        <v>1772</v>
      </c>
      <c r="I76" s="2">
        <v>654.5</v>
      </c>
      <c r="J76" s="2">
        <v>20</v>
      </c>
      <c r="K76" s="2">
        <v>142129.1</v>
      </c>
      <c r="L76" s="2">
        <v>97.93</v>
      </c>
      <c r="M76" s="2">
        <v>216.9</v>
      </c>
      <c r="N76" s="2">
        <v>0.4829</v>
      </c>
      <c r="O76" s="2">
        <v>57.99</v>
      </c>
      <c r="P76" s="2">
        <v>5.6790000000000003</v>
      </c>
      <c r="Q76" s="2">
        <v>0.21690000000000001</v>
      </c>
      <c r="R76" s="2">
        <v>68.634100000000004</v>
      </c>
      <c r="S76" s="2">
        <v>74.53</v>
      </c>
      <c r="T76" s="2" t="s">
        <v>506</v>
      </c>
    </row>
    <row r="77" spans="1:20" ht="24" x14ac:dyDescent="0.25">
      <c r="A77" s="3">
        <v>74</v>
      </c>
      <c r="B77" s="3">
        <v>2023</v>
      </c>
      <c r="C77" s="3" t="s">
        <v>32</v>
      </c>
      <c r="D77" s="3" t="s">
        <v>1852</v>
      </c>
      <c r="E77" s="3" t="s">
        <v>1767</v>
      </c>
      <c r="F77" s="3" t="s">
        <v>1764</v>
      </c>
      <c r="G77" s="3" t="s">
        <v>24</v>
      </c>
      <c r="H77" s="3" t="s">
        <v>1757</v>
      </c>
      <c r="I77" s="3">
        <v>439.2</v>
      </c>
      <c r="J77" s="3">
        <v>47</v>
      </c>
      <c r="K77" s="3">
        <v>77526.5</v>
      </c>
      <c r="L77" s="3">
        <v>140.87</v>
      </c>
      <c r="M77" s="3">
        <v>295.2</v>
      </c>
      <c r="N77" s="3">
        <v>0.74680000000000002</v>
      </c>
      <c r="O77" s="3">
        <v>57.91</v>
      </c>
      <c r="P77" s="3">
        <v>8.1577999999999999</v>
      </c>
      <c r="Q77" s="3">
        <v>0.29520000000000002</v>
      </c>
      <c r="R77" s="3">
        <v>57.896799999999999</v>
      </c>
      <c r="S77" s="3">
        <v>66.349800000000002</v>
      </c>
      <c r="T77" s="3" t="s">
        <v>1773</v>
      </c>
    </row>
    <row r="78" spans="1:20" ht="24" x14ac:dyDescent="0.25">
      <c r="A78" s="2">
        <v>75</v>
      </c>
      <c r="B78" s="2">
        <v>2023</v>
      </c>
      <c r="C78" s="2" t="s">
        <v>39</v>
      </c>
      <c r="D78" s="2" t="s">
        <v>1853</v>
      </c>
      <c r="E78" s="2" t="s">
        <v>1760</v>
      </c>
      <c r="F78" s="2" t="s">
        <v>1793</v>
      </c>
      <c r="G78" s="2" t="s">
        <v>58</v>
      </c>
      <c r="H78" s="2" t="s">
        <v>1765</v>
      </c>
      <c r="I78" s="2">
        <v>485.1</v>
      </c>
      <c r="J78" s="2">
        <v>50</v>
      </c>
      <c r="K78" s="2">
        <v>136195.70000000001</v>
      </c>
      <c r="L78" s="2">
        <v>116.34</v>
      </c>
      <c r="M78" s="2">
        <v>196.9</v>
      </c>
      <c r="N78" s="2">
        <v>0.72219999999999995</v>
      </c>
      <c r="O78" s="2">
        <v>56.69</v>
      </c>
      <c r="P78" s="2">
        <v>6.5952999999999999</v>
      </c>
      <c r="Q78" s="2">
        <v>0.19689999999999999</v>
      </c>
      <c r="R78" s="2">
        <v>98.360500000000002</v>
      </c>
      <c r="S78" s="2">
        <v>105.1527</v>
      </c>
      <c r="T78" s="2" t="s">
        <v>1773</v>
      </c>
    </row>
    <row r="79" spans="1:20" x14ac:dyDescent="0.25">
      <c r="A79" s="3">
        <v>76</v>
      </c>
      <c r="B79" s="3">
        <v>2023</v>
      </c>
      <c r="C79" s="3" t="s">
        <v>46</v>
      </c>
      <c r="D79" s="3" t="s">
        <v>1854</v>
      </c>
      <c r="E79" s="3" t="s">
        <v>1763</v>
      </c>
      <c r="F79" s="3" t="s">
        <v>1764</v>
      </c>
      <c r="G79" s="3" t="s">
        <v>117</v>
      </c>
      <c r="H79" s="3" t="s">
        <v>1772</v>
      </c>
      <c r="I79" s="3">
        <v>659.9</v>
      </c>
      <c r="J79" s="3">
        <v>45</v>
      </c>
      <c r="K79" s="3">
        <v>164234.1</v>
      </c>
      <c r="L79" s="3">
        <v>161.22</v>
      </c>
      <c r="M79" s="3">
        <v>454</v>
      </c>
      <c r="N79" s="3">
        <v>0.45800000000000002</v>
      </c>
      <c r="O79" s="3">
        <v>56.36</v>
      </c>
      <c r="P79" s="3">
        <v>9.0863999999999994</v>
      </c>
      <c r="Q79" s="3">
        <v>0.45400000000000001</v>
      </c>
      <c r="R79" s="3">
        <v>75.219200000000001</v>
      </c>
      <c r="S79" s="3">
        <v>84.759600000000006</v>
      </c>
      <c r="T79" s="3" t="s">
        <v>1758</v>
      </c>
    </row>
    <row r="80" spans="1:20" ht="24" x14ac:dyDescent="0.25">
      <c r="A80" s="2">
        <v>77</v>
      </c>
      <c r="B80" s="2">
        <v>2023</v>
      </c>
      <c r="C80" s="2" t="s">
        <v>22</v>
      </c>
      <c r="D80" s="2" t="s">
        <v>1855</v>
      </c>
      <c r="E80" s="2" t="s">
        <v>1763</v>
      </c>
      <c r="F80" s="2" t="s">
        <v>1793</v>
      </c>
      <c r="G80" s="2" t="s">
        <v>92</v>
      </c>
      <c r="H80" s="2" t="s">
        <v>1765</v>
      </c>
      <c r="I80" s="2">
        <v>596.79999999999995</v>
      </c>
      <c r="J80" s="2">
        <v>59</v>
      </c>
      <c r="K80" s="2">
        <v>166023.20000000001</v>
      </c>
      <c r="L80" s="2">
        <v>126.14</v>
      </c>
      <c r="M80" s="2">
        <v>341.5</v>
      </c>
      <c r="N80" s="2">
        <v>0.5262</v>
      </c>
      <c r="O80" s="2">
        <v>57.93</v>
      </c>
      <c r="P80" s="2">
        <v>7.3072999999999997</v>
      </c>
      <c r="Q80" s="2">
        <v>0.34150000000000003</v>
      </c>
      <c r="R80" s="2">
        <v>87.361400000000003</v>
      </c>
      <c r="S80" s="2">
        <v>95.010199999999998</v>
      </c>
      <c r="T80" s="2" t="s">
        <v>1773</v>
      </c>
    </row>
    <row r="81" spans="1:20" x14ac:dyDescent="0.25">
      <c r="A81" s="3">
        <v>78</v>
      </c>
      <c r="B81" s="3">
        <v>2023</v>
      </c>
      <c r="C81" s="3" t="s">
        <v>32</v>
      </c>
      <c r="D81" s="3" t="s">
        <v>1856</v>
      </c>
      <c r="E81" s="3" t="s">
        <v>1763</v>
      </c>
      <c r="F81" s="3" t="s">
        <v>1775</v>
      </c>
      <c r="G81" s="3" t="s">
        <v>33</v>
      </c>
      <c r="H81" s="3" t="s">
        <v>1769</v>
      </c>
      <c r="I81" s="3">
        <v>393.7</v>
      </c>
      <c r="J81" s="3">
        <v>45</v>
      </c>
      <c r="K81" s="3">
        <v>60092.3</v>
      </c>
      <c r="L81" s="3">
        <v>160.29</v>
      </c>
      <c r="M81" s="3">
        <v>104.7</v>
      </c>
      <c r="N81" s="3">
        <v>0.73540000000000005</v>
      </c>
      <c r="O81" s="3">
        <v>57.09</v>
      </c>
      <c r="P81" s="3">
        <v>9.1509999999999998</v>
      </c>
      <c r="Q81" s="3">
        <v>0.1047</v>
      </c>
      <c r="R81" s="3">
        <v>44.191899999999997</v>
      </c>
      <c r="S81" s="3">
        <v>53.447600000000001</v>
      </c>
      <c r="T81" s="3" t="s">
        <v>1758</v>
      </c>
    </row>
    <row r="82" spans="1:20" x14ac:dyDescent="0.25">
      <c r="A82" s="2">
        <v>79</v>
      </c>
      <c r="B82" s="2">
        <v>2023</v>
      </c>
      <c r="C82" s="2" t="s">
        <v>39</v>
      </c>
      <c r="D82" s="2" t="s">
        <v>1857</v>
      </c>
      <c r="E82" s="2" t="s">
        <v>1763</v>
      </c>
      <c r="F82" s="2" t="s">
        <v>743</v>
      </c>
      <c r="G82" s="2" t="s">
        <v>24</v>
      </c>
      <c r="H82" s="2" t="s">
        <v>1779</v>
      </c>
      <c r="I82" s="2">
        <v>683.5</v>
      </c>
      <c r="J82" s="2">
        <v>59</v>
      </c>
      <c r="K82" s="2">
        <v>80498.5</v>
      </c>
      <c r="L82" s="2">
        <v>142.38</v>
      </c>
      <c r="M82" s="2">
        <v>269.10000000000002</v>
      </c>
      <c r="N82" s="2">
        <v>0.75260000000000005</v>
      </c>
      <c r="O82" s="2">
        <v>57.93</v>
      </c>
      <c r="P82" s="2">
        <v>8.2481000000000009</v>
      </c>
      <c r="Q82" s="2">
        <v>0.26910000000000001</v>
      </c>
      <c r="R82" s="2">
        <v>60.583199999999998</v>
      </c>
      <c r="S82" s="2">
        <v>69.100399999999993</v>
      </c>
      <c r="T82" s="2" t="s">
        <v>506</v>
      </c>
    </row>
    <row r="83" spans="1:20" ht="24" x14ac:dyDescent="0.25">
      <c r="A83" s="3">
        <v>80</v>
      </c>
      <c r="B83" s="3">
        <v>2023</v>
      </c>
      <c r="C83" s="3" t="s">
        <v>46</v>
      </c>
      <c r="D83" s="3" t="s">
        <v>1858</v>
      </c>
      <c r="E83" s="3" t="s">
        <v>1763</v>
      </c>
      <c r="F83" s="3" t="s">
        <v>1756</v>
      </c>
      <c r="G83" s="3" t="s">
        <v>92</v>
      </c>
      <c r="H83" s="3" t="s">
        <v>1783</v>
      </c>
      <c r="I83" s="3">
        <v>354.5</v>
      </c>
      <c r="J83" s="3">
        <v>44</v>
      </c>
      <c r="K83" s="3">
        <v>70701</v>
      </c>
      <c r="L83" s="3">
        <v>47.43</v>
      </c>
      <c r="M83" s="3">
        <v>191.3</v>
      </c>
      <c r="N83" s="3">
        <v>0.48230000000000001</v>
      </c>
      <c r="O83" s="3">
        <v>57.41</v>
      </c>
      <c r="P83" s="3">
        <v>2.7229999999999999</v>
      </c>
      <c r="Q83" s="3">
        <v>0.1913</v>
      </c>
      <c r="R83" s="3">
        <v>34.0991</v>
      </c>
      <c r="S83" s="3">
        <v>37.013399999999997</v>
      </c>
      <c r="T83" s="3" t="s">
        <v>1773</v>
      </c>
    </row>
    <row r="84" spans="1:20" ht="24" x14ac:dyDescent="0.25">
      <c r="A84" s="2">
        <v>81</v>
      </c>
      <c r="B84" s="2">
        <v>2023</v>
      </c>
      <c r="C84" s="2" t="s">
        <v>22</v>
      </c>
      <c r="D84" s="2" t="s">
        <v>1859</v>
      </c>
      <c r="E84" s="2" t="s">
        <v>1767</v>
      </c>
      <c r="F84" s="2" t="s">
        <v>743</v>
      </c>
      <c r="G84" s="2" t="s">
        <v>92</v>
      </c>
      <c r="H84" s="2" t="s">
        <v>1786</v>
      </c>
      <c r="I84" s="2">
        <v>616.1</v>
      </c>
      <c r="J84" s="2">
        <v>15</v>
      </c>
      <c r="K84" s="2">
        <v>101380.5</v>
      </c>
      <c r="L84" s="2">
        <v>61.71</v>
      </c>
      <c r="M84" s="2">
        <v>290.89999999999998</v>
      </c>
      <c r="N84" s="2">
        <v>0.8044</v>
      </c>
      <c r="O84" s="2">
        <v>57.4</v>
      </c>
      <c r="P84" s="2">
        <v>3.5421999999999998</v>
      </c>
      <c r="Q84" s="2">
        <v>0.29089999999999999</v>
      </c>
      <c r="R84" s="2">
        <v>81.5505</v>
      </c>
      <c r="S84" s="2">
        <v>85.383600000000001</v>
      </c>
      <c r="T84" s="2" t="s">
        <v>1773</v>
      </c>
    </row>
    <row r="85" spans="1:20" x14ac:dyDescent="0.25">
      <c r="A85" s="3">
        <v>82</v>
      </c>
      <c r="B85" s="3">
        <v>2023</v>
      </c>
      <c r="C85" s="3" t="s">
        <v>32</v>
      </c>
      <c r="D85" s="3" t="s">
        <v>1860</v>
      </c>
      <c r="E85" s="3" t="s">
        <v>1763</v>
      </c>
      <c r="F85" s="3" t="s">
        <v>1781</v>
      </c>
      <c r="G85" s="3" t="s">
        <v>96</v>
      </c>
      <c r="H85" s="3" t="s">
        <v>1769</v>
      </c>
      <c r="I85" s="3">
        <v>513.9</v>
      </c>
      <c r="J85" s="3">
        <v>9</v>
      </c>
      <c r="K85" s="3">
        <v>71804.100000000006</v>
      </c>
      <c r="L85" s="3">
        <v>46.63</v>
      </c>
      <c r="M85" s="3">
        <v>299</v>
      </c>
      <c r="N85" s="3">
        <v>0.78849999999999998</v>
      </c>
      <c r="O85" s="3">
        <v>56.81</v>
      </c>
      <c r="P85" s="3">
        <v>2.6490999999999998</v>
      </c>
      <c r="Q85" s="3">
        <v>0.29899999999999999</v>
      </c>
      <c r="R85" s="3">
        <v>56.6175</v>
      </c>
      <c r="S85" s="3">
        <v>59.565600000000003</v>
      </c>
      <c r="T85" s="3" t="s">
        <v>506</v>
      </c>
    </row>
    <row r="86" spans="1:20" ht="24" x14ac:dyDescent="0.25">
      <c r="A86" s="2">
        <v>83</v>
      </c>
      <c r="B86" s="2">
        <v>2023</v>
      </c>
      <c r="C86" s="2" t="s">
        <v>39</v>
      </c>
      <c r="D86" s="2" t="s">
        <v>1861</v>
      </c>
      <c r="E86" s="2" t="s">
        <v>1763</v>
      </c>
      <c r="F86" s="2" t="s">
        <v>1790</v>
      </c>
      <c r="G86" s="2" t="s">
        <v>58</v>
      </c>
      <c r="H86" s="2" t="s">
        <v>1779</v>
      </c>
      <c r="I86" s="2">
        <v>315.3</v>
      </c>
      <c r="J86" s="2">
        <v>13</v>
      </c>
      <c r="K86" s="2">
        <v>89624.6</v>
      </c>
      <c r="L86" s="2">
        <v>30.47</v>
      </c>
      <c r="M86" s="2">
        <v>478</v>
      </c>
      <c r="N86" s="2">
        <v>0.75729999999999997</v>
      </c>
      <c r="O86" s="2">
        <v>57.77</v>
      </c>
      <c r="P86" s="2">
        <v>1.7603</v>
      </c>
      <c r="Q86" s="2">
        <v>0.47799999999999998</v>
      </c>
      <c r="R86" s="2">
        <v>67.872699999999995</v>
      </c>
      <c r="S86" s="2">
        <v>70.111000000000004</v>
      </c>
      <c r="T86" s="2" t="s">
        <v>1773</v>
      </c>
    </row>
    <row r="87" spans="1:20" x14ac:dyDescent="0.25">
      <c r="A87" s="3">
        <v>84</v>
      </c>
      <c r="B87" s="3">
        <v>2023</v>
      </c>
      <c r="C87" s="3" t="s">
        <v>46</v>
      </c>
      <c r="D87" s="3" t="s">
        <v>1862</v>
      </c>
      <c r="E87" s="3" t="s">
        <v>1789</v>
      </c>
      <c r="F87" s="3" t="s">
        <v>1775</v>
      </c>
      <c r="G87" s="3" t="s">
        <v>65</v>
      </c>
      <c r="H87" s="3" t="s">
        <v>1757</v>
      </c>
      <c r="I87" s="3">
        <v>799.6</v>
      </c>
      <c r="J87" s="3">
        <v>33</v>
      </c>
      <c r="K87" s="3">
        <v>212075.4</v>
      </c>
      <c r="L87" s="3">
        <v>128.46</v>
      </c>
      <c r="M87" s="3">
        <v>77.5</v>
      </c>
      <c r="N87" s="3">
        <v>0.84630000000000005</v>
      </c>
      <c r="O87" s="3">
        <v>56.05</v>
      </c>
      <c r="P87" s="3">
        <v>7.2001999999999997</v>
      </c>
      <c r="Q87" s="3">
        <v>7.7499999999999999E-2</v>
      </c>
      <c r="R87" s="3">
        <v>179.4794</v>
      </c>
      <c r="S87" s="3">
        <v>186.75710000000001</v>
      </c>
      <c r="T87" s="3" t="s">
        <v>1758</v>
      </c>
    </row>
    <row r="88" spans="1:20" ht="24" x14ac:dyDescent="0.25">
      <c r="A88" s="2">
        <v>85</v>
      </c>
      <c r="B88" s="2">
        <v>2023</v>
      </c>
      <c r="C88" s="2" t="s">
        <v>22</v>
      </c>
      <c r="D88" s="2" t="s">
        <v>1863</v>
      </c>
      <c r="E88" s="2" t="s">
        <v>1760</v>
      </c>
      <c r="F88" s="2" t="s">
        <v>1771</v>
      </c>
      <c r="G88" s="2" t="s">
        <v>139</v>
      </c>
      <c r="H88" s="2" t="s">
        <v>1757</v>
      </c>
      <c r="I88" s="2">
        <v>380.3</v>
      </c>
      <c r="J88" s="2">
        <v>56</v>
      </c>
      <c r="K88" s="2">
        <v>54456.5</v>
      </c>
      <c r="L88" s="2">
        <v>21.14</v>
      </c>
      <c r="M88" s="2">
        <v>121.8</v>
      </c>
      <c r="N88" s="2">
        <v>0.3604</v>
      </c>
      <c r="O88" s="2">
        <v>57.22</v>
      </c>
      <c r="P88" s="2">
        <v>1.2096</v>
      </c>
      <c r="Q88" s="2">
        <v>0.12180000000000001</v>
      </c>
      <c r="R88" s="2">
        <v>19.626100000000001</v>
      </c>
      <c r="S88" s="2">
        <v>20.9575</v>
      </c>
      <c r="T88" s="2" t="s">
        <v>1773</v>
      </c>
    </row>
    <row r="89" spans="1:20" ht="24" x14ac:dyDescent="0.25">
      <c r="A89" s="3">
        <v>86</v>
      </c>
      <c r="B89" s="3">
        <v>2023</v>
      </c>
      <c r="C89" s="3" t="s">
        <v>32</v>
      </c>
      <c r="D89" s="3" t="s">
        <v>1864</v>
      </c>
      <c r="E89" s="3" t="s">
        <v>1763</v>
      </c>
      <c r="F89" s="3" t="s">
        <v>1778</v>
      </c>
      <c r="G89" s="3" t="s">
        <v>92</v>
      </c>
      <c r="H89" s="3" t="s">
        <v>1776</v>
      </c>
      <c r="I89" s="3">
        <v>189.5</v>
      </c>
      <c r="J89" s="3">
        <v>38</v>
      </c>
      <c r="K89" s="3">
        <v>40965.9</v>
      </c>
      <c r="L89" s="3">
        <v>62.96</v>
      </c>
      <c r="M89" s="3">
        <v>444.3</v>
      </c>
      <c r="N89" s="3">
        <v>0.83960000000000001</v>
      </c>
      <c r="O89" s="3">
        <v>57.49</v>
      </c>
      <c r="P89" s="3">
        <v>3.6196000000000002</v>
      </c>
      <c r="Q89" s="3">
        <v>0.44429999999999997</v>
      </c>
      <c r="R89" s="3">
        <v>34.395000000000003</v>
      </c>
      <c r="S89" s="3">
        <v>38.4589</v>
      </c>
      <c r="T89" s="3" t="s">
        <v>1773</v>
      </c>
    </row>
    <row r="90" spans="1:20" x14ac:dyDescent="0.25">
      <c r="A90" s="2">
        <v>87</v>
      </c>
      <c r="B90" s="2">
        <v>2023</v>
      </c>
      <c r="C90" s="2" t="s">
        <v>39</v>
      </c>
      <c r="D90" s="2" t="s">
        <v>1865</v>
      </c>
      <c r="E90" s="2" t="s">
        <v>1789</v>
      </c>
      <c r="F90" s="2" t="s">
        <v>1778</v>
      </c>
      <c r="G90" s="2" t="s">
        <v>139</v>
      </c>
      <c r="H90" s="2" t="s">
        <v>1786</v>
      </c>
      <c r="I90" s="2">
        <v>327.7</v>
      </c>
      <c r="J90" s="2">
        <v>20</v>
      </c>
      <c r="K90" s="2">
        <v>53752.9</v>
      </c>
      <c r="L90" s="2">
        <v>69.040000000000006</v>
      </c>
      <c r="M90" s="2">
        <v>479</v>
      </c>
      <c r="N90" s="2">
        <v>0.41720000000000002</v>
      </c>
      <c r="O90" s="2">
        <v>57.72</v>
      </c>
      <c r="P90" s="2">
        <v>3.9849999999999999</v>
      </c>
      <c r="Q90" s="2">
        <v>0.47899999999999998</v>
      </c>
      <c r="R90" s="2">
        <v>22.425699999999999</v>
      </c>
      <c r="S90" s="2">
        <v>26.889700000000001</v>
      </c>
      <c r="T90" s="2" t="s">
        <v>1758</v>
      </c>
    </row>
    <row r="91" spans="1:20" ht="24" x14ac:dyDescent="0.25">
      <c r="A91" s="3">
        <v>88</v>
      </c>
      <c r="B91" s="3">
        <v>2023</v>
      </c>
      <c r="C91" s="3" t="s">
        <v>46</v>
      </c>
      <c r="D91" s="3" t="s">
        <v>1866</v>
      </c>
      <c r="E91" s="3" t="s">
        <v>1789</v>
      </c>
      <c r="F91" s="3" t="s">
        <v>1775</v>
      </c>
      <c r="G91" s="3" t="s">
        <v>88</v>
      </c>
      <c r="H91" s="3" t="s">
        <v>1757</v>
      </c>
      <c r="I91" s="3">
        <v>785.8</v>
      </c>
      <c r="J91" s="3">
        <v>55</v>
      </c>
      <c r="K91" s="3">
        <v>233461.8</v>
      </c>
      <c r="L91" s="3">
        <v>289.77</v>
      </c>
      <c r="M91" s="3">
        <v>267.7</v>
      </c>
      <c r="N91" s="3">
        <v>0.40239999999999998</v>
      </c>
      <c r="O91" s="3">
        <v>57.65</v>
      </c>
      <c r="P91" s="3">
        <v>16.705200000000001</v>
      </c>
      <c r="Q91" s="3">
        <v>0.26769999999999999</v>
      </c>
      <c r="R91" s="3">
        <v>93.944999999999993</v>
      </c>
      <c r="S91" s="3">
        <v>110.9179</v>
      </c>
      <c r="T91" s="3" t="s">
        <v>1773</v>
      </c>
    </row>
    <row r="92" spans="1:20" x14ac:dyDescent="0.25">
      <c r="A92" s="2">
        <v>89</v>
      </c>
      <c r="B92" s="2">
        <v>2023</v>
      </c>
      <c r="C92" s="2" t="s">
        <v>22</v>
      </c>
      <c r="D92" s="2" t="s">
        <v>1867</v>
      </c>
      <c r="E92" s="2" t="s">
        <v>1789</v>
      </c>
      <c r="F92" s="2" t="s">
        <v>727</v>
      </c>
      <c r="G92" s="2" t="s">
        <v>139</v>
      </c>
      <c r="H92" s="2" t="s">
        <v>1783</v>
      </c>
      <c r="I92" s="2">
        <v>251.9</v>
      </c>
      <c r="J92" s="2">
        <v>58</v>
      </c>
      <c r="K92" s="2">
        <v>27870.3</v>
      </c>
      <c r="L92" s="2">
        <v>82.74</v>
      </c>
      <c r="M92" s="2">
        <v>248.6</v>
      </c>
      <c r="N92" s="2">
        <v>0.56810000000000005</v>
      </c>
      <c r="O92" s="2">
        <v>57.91</v>
      </c>
      <c r="P92" s="2">
        <v>4.7915000000000001</v>
      </c>
      <c r="Q92" s="2">
        <v>0.24859999999999999</v>
      </c>
      <c r="R92" s="2">
        <v>15.8331</v>
      </c>
      <c r="S92" s="2">
        <v>20.873200000000001</v>
      </c>
      <c r="T92" s="2" t="s">
        <v>506</v>
      </c>
    </row>
    <row r="93" spans="1:20" ht="24" x14ac:dyDescent="0.25">
      <c r="A93" s="3">
        <v>90</v>
      </c>
      <c r="B93" s="3">
        <v>2023</v>
      </c>
      <c r="C93" s="3" t="s">
        <v>32</v>
      </c>
      <c r="D93" s="3" t="s">
        <v>1868</v>
      </c>
      <c r="E93" s="3" t="s">
        <v>1763</v>
      </c>
      <c r="F93" s="3" t="s">
        <v>1790</v>
      </c>
      <c r="G93" s="3" t="s">
        <v>117</v>
      </c>
      <c r="H93" s="3" t="s">
        <v>1765</v>
      </c>
      <c r="I93" s="3">
        <v>537.70000000000005</v>
      </c>
      <c r="J93" s="3">
        <v>27</v>
      </c>
      <c r="K93" s="3">
        <v>105026.4</v>
      </c>
      <c r="L93" s="3">
        <v>197.79</v>
      </c>
      <c r="M93" s="3">
        <v>31.9</v>
      </c>
      <c r="N93" s="3">
        <v>0.5272</v>
      </c>
      <c r="O93" s="3">
        <v>57.91</v>
      </c>
      <c r="P93" s="3">
        <v>11.454000000000001</v>
      </c>
      <c r="Q93" s="3">
        <v>3.1899999999999998E-2</v>
      </c>
      <c r="R93" s="3">
        <v>55.369900000000001</v>
      </c>
      <c r="S93" s="3">
        <v>66.855800000000002</v>
      </c>
      <c r="T93" s="3" t="s">
        <v>506</v>
      </c>
    </row>
    <row r="94" spans="1:20" ht="24" x14ac:dyDescent="0.25">
      <c r="A94" s="2">
        <v>91</v>
      </c>
      <c r="B94" s="2">
        <v>2023</v>
      </c>
      <c r="C94" s="2" t="s">
        <v>39</v>
      </c>
      <c r="D94" s="2" t="s">
        <v>1869</v>
      </c>
      <c r="E94" s="2" t="s">
        <v>1767</v>
      </c>
      <c r="F94" s="2" t="s">
        <v>1775</v>
      </c>
      <c r="G94" s="2" t="s">
        <v>154</v>
      </c>
      <c r="H94" s="2" t="s">
        <v>1776</v>
      </c>
      <c r="I94" s="2">
        <v>498.3</v>
      </c>
      <c r="J94" s="2">
        <v>32</v>
      </c>
      <c r="K94" s="2">
        <v>120012.3</v>
      </c>
      <c r="L94" s="2">
        <v>236.31</v>
      </c>
      <c r="M94" s="2">
        <v>493.1</v>
      </c>
      <c r="N94" s="2">
        <v>0.45760000000000001</v>
      </c>
      <c r="O94" s="2">
        <v>56.9</v>
      </c>
      <c r="P94" s="2">
        <v>13.446</v>
      </c>
      <c r="Q94" s="2">
        <v>0.49309999999999998</v>
      </c>
      <c r="R94" s="2">
        <v>54.9176</v>
      </c>
      <c r="S94" s="2">
        <v>68.856700000000004</v>
      </c>
      <c r="T94" s="2" t="s">
        <v>1773</v>
      </c>
    </row>
    <row r="95" spans="1:20" ht="24" x14ac:dyDescent="0.25">
      <c r="A95" s="3">
        <v>92</v>
      </c>
      <c r="B95" s="3">
        <v>2023</v>
      </c>
      <c r="C95" s="3" t="s">
        <v>46</v>
      </c>
      <c r="D95" s="3" t="s">
        <v>1870</v>
      </c>
      <c r="E95" s="3" t="s">
        <v>1763</v>
      </c>
      <c r="F95" s="3" t="s">
        <v>727</v>
      </c>
      <c r="G95" s="3" t="s">
        <v>58</v>
      </c>
      <c r="H95" s="3" t="s">
        <v>1765</v>
      </c>
      <c r="I95" s="3">
        <v>224.4</v>
      </c>
      <c r="J95" s="3">
        <v>56</v>
      </c>
      <c r="K95" s="3">
        <v>61753.5</v>
      </c>
      <c r="L95" s="3">
        <v>106.77</v>
      </c>
      <c r="M95" s="3">
        <v>72.099999999999994</v>
      </c>
      <c r="N95" s="3">
        <v>0.61980000000000002</v>
      </c>
      <c r="O95" s="3">
        <v>57.36</v>
      </c>
      <c r="P95" s="3">
        <v>6.1242999999999999</v>
      </c>
      <c r="Q95" s="3">
        <v>7.2099999999999997E-2</v>
      </c>
      <c r="R95" s="3">
        <v>38.274799999999999</v>
      </c>
      <c r="S95" s="3">
        <v>44.471200000000003</v>
      </c>
      <c r="T95" s="3" t="s">
        <v>506</v>
      </c>
    </row>
    <row r="96" spans="1:20" x14ac:dyDescent="0.25">
      <c r="A96" s="2">
        <v>93</v>
      </c>
      <c r="B96" s="2">
        <v>2023</v>
      </c>
      <c r="C96" s="2" t="s">
        <v>22</v>
      </c>
      <c r="D96" s="2" t="s">
        <v>1871</v>
      </c>
      <c r="E96" s="2" t="s">
        <v>1789</v>
      </c>
      <c r="F96" s="2" t="s">
        <v>803</v>
      </c>
      <c r="G96" s="2" t="s">
        <v>58</v>
      </c>
      <c r="H96" s="2" t="s">
        <v>1786</v>
      </c>
      <c r="I96" s="2">
        <v>615.79999999999995</v>
      </c>
      <c r="J96" s="2">
        <v>42</v>
      </c>
      <c r="K96" s="2">
        <v>76320.2</v>
      </c>
      <c r="L96" s="2">
        <v>301.62</v>
      </c>
      <c r="M96" s="2">
        <v>306.89999999999998</v>
      </c>
      <c r="N96" s="2">
        <v>0.6149</v>
      </c>
      <c r="O96" s="2">
        <v>57.46</v>
      </c>
      <c r="P96" s="2">
        <v>17.331099999999999</v>
      </c>
      <c r="Q96" s="2">
        <v>0.30690000000000001</v>
      </c>
      <c r="R96" s="2">
        <v>46.929299999999998</v>
      </c>
      <c r="S96" s="2">
        <v>64.567300000000003</v>
      </c>
      <c r="T96" s="2" t="s">
        <v>1758</v>
      </c>
    </row>
    <row r="97" spans="1:20" ht="24" x14ac:dyDescent="0.25">
      <c r="A97" s="3">
        <v>94</v>
      </c>
      <c r="B97" s="3">
        <v>2023</v>
      </c>
      <c r="C97" s="3" t="s">
        <v>32</v>
      </c>
      <c r="D97" s="3" t="s">
        <v>1872</v>
      </c>
      <c r="E97" s="3" t="s">
        <v>1760</v>
      </c>
      <c r="F97" s="3" t="s">
        <v>1778</v>
      </c>
      <c r="G97" s="3" t="s">
        <v>33</v>
      </c>
      <c r="H97" s="3" t="s">
        <v>1772</v>
      </c>
      <c r="I97" s="3">
        <v>72.099999999999994</v>
      </c>
      <c r="J97" s="3">
        <v>36</v>
      </c>
      <c r="K97" s="3">
        <v>17717.400000000001</v>
      </c>
      <c r="L97" s="3">
        <v>14.37</v>
      </c>
      <c r="M97" s="3">
        <v>47.1</v>
      </c>
      <c r="N97" s="3">
        <v>0.55179999999999996</v>
      </c>
      <c r="O97" s="3">
        <v>57.4</v>
      </c>
      <c r="P97" s="3">
        <v>0.82479999999999998</v>
      </c>
      <c r="Q97" s="3">
        <v>4.7100000000000003E-2</v>
      </c>
      <c r="R97" s="3">
        <v>9.7765000000000004</v>
      </c>
      <c r="S97" s="3">
        <v>10.648400000000001</v>
      </c>
      <c r="T97" s="3" t="s">
        <v>506</v>
      </c>
    </row>
    <row r="98" spans="1:20" ht="24" x14ac:dyDescent="0.25">
      <c r="A98" s="2">
        <v>95</v>
      </c>
      <c r="B98" s="2">
        <v>2023</v>
      </c>
      <c r="C98" s="2" t="s">
        <v>39</v>
      </c>
      <c r="D98" s="2" t="s">
        <v>1873</v>
      </c>
      <c r="E98" s="2" t="s">
        <v>1760</v>
      </c>
      <c r="F98" s="2" t="s">
        <v>1764</v>
      </c>
      <c r="G98" s="2" t="s">
        <v>110</v>
      </c>
      <c r="H98" s="2" t="s">
        <v>1776</v>
      </c>
      <c r="I98" s="2">
        <v>405.8</v>
      </c>
      <c r="J98" s="2">
        <v>59</v>
      </c>
      <c r="K98" s="2">
        <v>68441.8</v>
      </c>
      <c r="L98" s="2">
        <v>37.799999999999997</v>
      </c>
      <c r="M98" s="2">
        <v>177.6</v>
      </c>
      <c r="N98" s="2">
        <v>0.7036</v>
      </c>
      <c r="O98" s="2">
        <v>57.76</v>
      </c>
      <c r="P98" s="2">
        <v>2.1833</v>
      </c>
      <c r="Q98" s="2">
        <v>0.17760000000000001</v>
      </c>
      <c r="R98" s="2">
        <v>48.155700000000003</v>
      </c>
      <c r="S98" s="2">
        <v>50.516599999999997</v>
      </c>
      <c r="T98" s="2" t="s">
        <v>1773</v>
      </c>
    </row>
    <row r="99" spans="1:20" ht="24" x14ac:dyDescent="0.25">
      <c r="A99" s="3">
        <v>96</v>
      </c>
      <c r="B99" s="3">
        <v>2023</v>
      </c>
      <c r="C99" s="3" t="s">
        <v>46</v>
      </c>
      <c r="D99" s="3" t="s">
        <v>1874</v>
      </c>
      <c r="E99" s="3" t="s">
        <v>1755</v>
      </c>
      <c r="F99" s="3" t="s">
        <v>1790</v>
      </c>
      <c r="G99" s="3" t="s">
        <v>120</v>
      </c>
      <c r="H99" s="3" t="s">
        <v>1765</v>
      </c>
      <c r="I99" s="3">
        <v>200.5</v>
      </c>
      <c r="J99" s="3">
        <v>27</v>
      </c>
      <c r="K99" s="3">
        <v>59574</v>
      </c>
      <c r="L99" s="3">
        <v>67.14</v>
      </c>
      <c r="M99" s="3">
        <v>169.9</v>
      </c>
      <c r="N99" s="3">
        <v>0.72589999999999999</v>
      </c>
      <c r="O99" s="3">
        <v>57.05</v>
      </c>
      <c r="P99" s="3">
        <v>3.8302999999999998</v>
      </c>
      <c r="Q99" s="3">
        <v>0.1699</v>
      </c>
      <c r="R99" s="3">
        <v>43.244799999999998</v>
      </c>
      <c r="S99" s="3">
        <v>47.244999999999997</v>
      </c>
      <c r="T99" s="3" t="s">
        <v>506</v>
      </c>
    </row>
    <row r="100" spans="1:20" x14ac:dyDescent="0.25">
      <c r="A100" s="2">
        <v>97</v>
      </c>
      <c r="B100" s="2">
        <v>2023</v>
      </c>
      <c r="C100" s="2" t="s">
        <v>22</v>
      </c>
      <c r="D100" s="2" t="s">
        <v>1875</v>
      </c>
      <c r="E100" s="2" t="s">
        <v>1767</v>
      </c>
      <c r="F100" s="2" t="s">
        <v>1790</v>
      </c>
      <c r="G100" s="2" t="s">
        <v>88</v>
      </c>
      <c r="H100" s="2" t="s">
        <v>1779</v>
      </c>
      <c r="I100" s="2">
        <v>329.9</v>
      </c>
      <c r="J100" s="2">
        <v>15</v>
      </c>
      <c r="K100" s="2">
        <v>33104.1</v>
      </c>
      <c r="L100" s="2">
        <v>162.74</v>
      </c>
      <c r="M100" s="2">
        <v>6.3</v>
      </c>
      <c r="N100" s="2">
        <v>0.51339999999999997</v>
      </c>
      <c r="O100" s="2">
        <v>56.61</v>
      </c>
      <c r="P100" s="2">
        <v>9.2126999999999999</v>
      </c>
      <c r="Q100" s="2">
        <v>6.3E-3</v>
      </c>
      <c r="R100" s="2">
        <v>16.9956</v>
      </c>
      <c r="S100" s="2">
        <v>26.214600000000001</v>
      </c>
      <c r="T100" s="2" t="s">
        <v>1758</v>
      </c>
    </row>
    <row r="101" spans="1:20" ht="24" x14ac:dyDescent="0.25">
      <c r="A101" s="3">
        <v>98</v>
      </c>
      <c r="B101" s="3">
        <v>2023</v>
      </c>
      <c r="C101" s="3" t="s">
        <v>32</v>
      </c>
      <c r="D101" s="3" t="s">
        <v>1876</v>
      </c>
      <c r="E101" s="3" t="s">
        <v>1789</v>
      </c>
      <c r="F101" s="3" t="s">
        <v>1790</v>
      </c>
      <c r="G101" s="3" t="s">
        <v>88</v>
      </c>
      <c r="H101" s="3" t="s">
        <v>1786</v>
      </c>
      <c r="I101" s="3">
        <v>191.4</v>
      </c>
      <c r="J101" s="3">
        <v>44</v>
      </c>
      <c r="K101" s="3">
        <v>38211.1</v>
      </c>
      <c r="L101" s="3">
        <v>55.67</v>
      </c>
      <c r="M101" s="3">
        <v>487.9</v>
      </c>
      <c r="N101" s="3">
        <v>0.39850000000000002</v>
      </c>
      <c r="O101" s="3">
        <v>57.37</v>
      </c>
      <c r="P101" s="3">
        <v>3.1938</v>
      </c>
      <c r="Q101" s="3">
        <v>0.4879</v>
      </c>
      <c r="R101" s="3">
        <v>15.2271</v>
      </c>
      <c r="S101" s="3">
        <v>18.908799999999999</v>
      </c>
      <c r="T101" s="3" t="s">
        <v>1773</v>
      </c>
    </row>
    <row r="102" spans="1:20" ht="24" x14ac:dyDescent="0.25">
      <c r="A102" s="2">
        <v>99</v>
      </c>
      <c r="B102" s="2">
        <v>2023</v>
      </c>
      <c r="C102" s="2" t="s">
        <v>39</v>
      </c>
      <c r="D102" s="2" t="s">
        <v>1877</v>
      </c>
      <c r="E102" s="2" t="s">
        <v>1767</v>
      </c>
      <c r="F102" s="2" t="s">
        <v>1778</v>
      </c>
      <c r="G102" s="2" t="s">
        <v>24</v>
      </c>
      <c r="H102" s="2" t="s">
        <v>1776</v>
      </c>
      <c r="I102" s="2">
        <v>579.79999999999995</v>
      </c>
      <c r="J102" s="2">
        <v>54</v>
      </c>
      <c r="K102" s="2">
        <v>78562</v>
      </c>
      <c r="L102" s="2">
        <v>67.83</v>
      </c>
      <c r="M102" s="2">
        <v>409.5</v>
      </c>
      <c r="N102" s="2">
        <v>0.36520000000000002</v>
      </c>
      <c r="O102" s="2">
        <v>56.08</v>
      </c>
      <c r="P102" s="2">
        <v>3.8039000000000001</v>
      </c>
      <c r="Q102" s="2">
        <v>0.40949999999999998</v>
      </c>
      <c r="R102" s="2">
        <v>28.690799999999999</v>
      </c>
      <c r="S102" s="2">
        <v>32.904200000000003</v>
      </c>
      <c r="T102" s="2" t="s">
        <v>1773</v>
      </c>
    </row>
    <row r="103" spans="1:20" ht="24" x14ac:dyDescent="0.25">
      <c r="A103" s="3">
        <v>100</v>
      </c>
      <c r="B103" s="3">
        <v>2023</v>
      </c>
      <c r="C103" s="3" t="s">
        <v>46</v>
      </c>
      <c r="D103" s="3" t="s">
        <v>1878</v>
      </c>
      <c r="E103" s="3" t="s">
        <v>1767</v>
      </c>
      <c r="F103" s="3" t="s">
        <v>1756</v>
      </c>
      <c r="G103" s="3" t="s">
        <v>204</v>
      </c>
      <c r="H103" s="3" t="s">
        <v>1772</v>
      </c>
      <c r="I103" s="3">
        <v>130.80000000000001</v>
      </c>
      <c r="J103" s="3">
        <v>48</v>
      </c>
      <c r="K103" s="3">
        <v>17799.7</v>
      </c>
      <c r="L103" s="3">
        <v>37.06</v>
      </c>
      <c r="M103" s="3">
        <v>450.1</v>
      </c>
      <c r="N103" s="3">
        <v>0.5988</v>
      </c>
      <c r="O103" s="3">
        <v>57.21</v>
      </c>
      <c r="P103" s="3">
        <v>2.1202000000000001</v>
      </c>
      <c r="Q103" s="3">
        <v>0.4501</v>
      </c>
      <c r="R103" s="3">
        <v>10.6585</v>
      </c>
      <c r="S103" s="3">
        <v>13.2288</v>
      </c>
      <c r="T103" s="3" t="s">
        <v>1773</v>
      </c>
    </row>
  </sheetData>
  <autoFilter ref="A3:T3" xr:uid="{00000000-0009-0000-0000-00000D000000}"/>
  <mergeCells count="2">
    <mergeCell ref="A1:P1"/>
    <mergeCell ref="A2:P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S103"/>
  <sheetViews>
    <sheetView showGridLines="0" topLeftCell="K1" workbookViewId="0">
      <pane ySplit="3" topLeftCell="A4" activePane="bottomLeft" state="frozen"/>
      <selection pane="bottomLeft" sqref="A1:P1"/>
    </sheetView>
  </sheetViews>
  <sheetFormatPr defaultRowHeight="15" x14ac:dyDescent="0.25"/>
  <cols>
    <col min="1" max="1" width="7" customWidth="1"/>
    <col min="2" max="2" width="14" customWidth="1"/>
    <col min="3" max="3" width="10" customWidth="1"/>
    <col min="4" max="19" width="18" customWidth="1"/>
  </cols>
  <sheetData>
    <row r="1" spans="1:19" ht="28.15" customHeight="1" x14ac:dyDescent="0.25">
      <c r="A1" s="27" t="s">
        <v>1879</v>
      </c>
      <c r="B1" s="28"/>
      <c r="C1" s="28"/>
      <c r="D1" s="28"/>
      <c r="E1" s="28"/>
      <c r="F1" s="28"/>
      <c r="G1" s="28"/>
      <c r="H1" s="28"/>
      <c r="I1" s="28"/>
      <c r="J1" s="28"/>
      <c r="K1" s="28"/>
      <c r="L1" s="28"/>
      <c r="M1" s="28"/>
      <c r="N1" s="28"/>
      <c r="O1" s="28"/>
      <c r="P1" s="28"/>
    </row>
    <row r="2" spans="1:19" ht="18" customHeight="1" x14ac:dyDescent="0.25">
      <c r="A2" s="29" t="s">
        <v>1</v>
      </c>
      <c r="B2" s="28"/>
      <c r="C2" s="28"/>
      <c r="D2" s="28"/>
      <c r="E2" s="28"/>
      <c r="F2" s="28"/>
      <c r="G2" s="28"/>
      <c r="H2" s="28"/>
      <c r="I2" s="28"/>
      <c r="J2" s="28"/>
      <c r="K2" s="28"/>
      <c r="L2" s="28"/>
      <c r="M2" s="28"/>
      <c r="N2" s="28"/>
      <c r="O2" s="28"/>
      <c r="P2" s="28"/>
    </row>
    <row r="3" spans="1:19" ht="38.25" x14ac:dyDescent="0.25">
      <c r="A3" s="1" t="s">
        <v>2</v>
      </c>
      <c r="B3" s="1" t="s">
        <v>3</v>
      </c>
      <c r="C3" s="1" t="s">
        <v>1880</v>
      </c>
      <c r="D3" s="1" t="s">
        <v>490</v>
      </c>
      <c r="E3" s="1" t="s">
        <v>1881</v>
      </c>
      <c r="F3" s="1" t="s">
        <v>1882</v>
      </c>
      <c r="G3" s="1" t="s">
        <v>1883</v>
      </c>
      <c r="H3" s="1" t="s">
        <v>1884</v>
      </c>
      <c r="I3" s="1" t="s">
        <v>1885</v>
      </c>
      <c r="J3" s="1" t="s">
        <v>1886</v>
      </c>
      <c r="K3" s="1" t="s">
        <v>1887</v>
      </c>
      <c r="L3" s="1" t="s">
        <v>1888</v>
      </c>
      <c r="M3" s="1" t="s">
        <v>1889</v>
      </c>
      <c r="N3" s="1" t="s">
        <v>1890</v>
      </c>
      <c r="O3" s="1" t="s">
        <v>1891</v>
      </c>
      <c r="P3" s="1" t="s">
        <v>1892</v>
      </c>
      <c r="Q3" s="1" t="s">
        <v>1893</v>
      </c>
      <c r="R3" s="1" t="s">
        <v>500</v>
      </c>
      <c r="S3" s="1" t="s">
        <v>299</v>
      </c>
    </row>
    <row r="4" spans="1:19" ht="24" x14ac:dyDescent="0.25">
      <c r="A4" s="2">
        <v>1</v>
      </c>
      <c r="B4" s="2">
        <v>2023</v>
      </c>
      <c r="C4" s="2" t="s">
        <v>1894</v>
      </c>
      <c r="D4" s="2" t="s">
        <v>65</v>
      </c>
      <c r="E4" s="2" t="s">
        <v>1895</v>
      </c>
      <c r="F4" s="2" t="s">
        <v>1896</v>
      </c>
      <c r="G4" s="2" t="s">
        <v>1897</v>
      </c>
      <c r="H4" s="2">
        <v>472.06</v>
      </c>
      <c r="I4" s="2">
        <v>6547.97</v>
      </c>
      <c r="J4" s="2">
        <v>7.21</v>
      </c>
      <c r="K4" s="2">
        <v>33666</v>
      </c>
      <c r="L4" s="2">
        <v>49621</v>
      </c>
      <c r="M4" s="2">
        <v>83287</v>
      </c>
      <c r="N4" s="2">
        <v>6004.99</v>
      </c>
      <c r="O4" s="2">
        <v>1302.83</v>
      </c>
      <c r="P4" s="2">
        <v>63.93</v>
      </c>
      <c r="Q4" s="2">
        <v>1</v>
      </c>
      <c r="R4" s="2" t="s">
        <v>1898</v>
      </c>
      <c r="S4" s="2" t="s">
        <v>1899</v>
      </c>
    </row>
    <row r="5" spans="1:19" ht="24" x14ac:dyDescent="0.25">
      <c r="A5" s="3">
        <v>2</v>
      </c>
      <c r="B5" s="3">
        <v>2023</v>
      </c>
      <c r="C5" s="3" t="s">
        <v>1900</v>
      </c>
      <c r="D5" s="3" t="s">
        <v>70</v>
      </c>
      <c r="E5" s="3" t="s">
        <v>1901</v>
      </c>
      <c r="F5" s="3" t="s">
        <v>1646</v>
      </c>
      <c r="G5" s="3" t="s">
        <v>1902</v>
      </c>
      <c r="H5" s="3">
        <v>354.11</v>
      </c>
      <c r="I5" s="3">
        <v>6027.89</v>
      </c>
      <c r="J5" s="3">
        <v>5.87</v>
      </c>
      <c r="K5" s="3">
        <v>50291</v>
      </c>
      <c r="L5" s="3">
        <v>104209</v>
      </c>
      <c r="M5" s="3">
        <v>154500</v>
      </c>
      <c r="N5" s="3">
        <v>9069.15</v>
      </c>
      <c r="O5" s="3">
        <v>3402.5</v>
      </c>
      <c r="P5" s="3">
        <v>45.41</v>
      </c>
      <c r="Q5" s="3">
        <v>5</v>
      </c>
      <c r="R5" s="3" t="s">
        <v>894</v>
      </c>
      <c r="S5" s="3" t="s">
        <v>1903</v>
      </c>
    </row>
    <row r="6" spans="1:19" ht="24" x14ac:dyDescent="0.25">
      <c r="A6" s="2">
        <v>3</v>
      </c>
      <c r="B6" s="2">
        <v>2023</v>
      </c>
      <c r="C6" s="2" t="s">
        <v>1904</v>
      </c>
      <c r="D6" s="2" t="s">
        <v>154</v>
      </c>
      <c r="E6" s="2" t="s">
        <v>1895</v>
      </c>
      <c r="F6" s="2" t="s">
        <v>1905</v>
      </c>
      <c r="G6" s="2" t="s">
        <v>1897</v>
      </c>
      <c r="H6" s="2">
        <v>378.7</v>
      </c>
      <c r="I6" s="2">
        <v>5074.2700000000004</v>
      </c>
      <c r="J6" s="2">
        <v>7.46</v>
      </c>
      <c r="K6" s="2">
        <v>141998</v>
      </c>
      <c r="L6" s="2">
        <v>27527</v>
      </c>
      <c r="M6" s="2">
        <v>169525</v>
      </c>
      <c r="N6" s="2">
        <v>12646.57</v>
      </c>
      <c r="O6" s="2">
        <v>3219.45</v>
      </c>
      <c r="P6" s="2">
        <v>52.66</v>
      </c>
      <c r="Q6" s="2">
        <v>4</v>
      </c>
      <c r="R6" s="2" t="s">
        <v>1906</v>
      </c>
      <c r="S6" s="2" t="s">
        <v>1903</v>
      </c>
    </row>
    <row r="7" spans="1:19" ht="24" x14ac:dyDescent="0.25">
      <c r="A7" s="3">
        <v>4</v>
      </c>
      <c r="B7" s="3">
        <v>2023</v>
      </c>
      <c r="C7" s="3" t="s">
        <v>1907</v>
      </c>
      <c r="D7" s="3" t="s">
        <v>117</v>
      </c>
      <c r="E7" s="3" t="s">
        <v>1908</v>
      </c>
      <c r="F7" s="3" t="s">
        <v>1308</v>
      </c>
      <c r="G7" s="3" t="s">
        <v>1909</v>
      </c>
      <c r="H7" s="3">
        <v>12.89</v>
      </c>
      <c r="I7" s="3">
        <v>44.21</v>
      </c>
      <c r="J7" s="3">
        <v>29.16</v>
      </c>
      <c r="K7" s="3">
        <v>281065</v>
      </c>
      <c r="L7" s="3">
        <v>122128</v>
      </c>
      <c r="M7" s="3">
        <v>403193</v>
      </c>
      <c r="N7" s="3">
        <v>117571.08</v>
      </c>
      <c r="O7" s="3">
        <v>13.89</v>
      </c>
      <c r="P7" s="3">
        <v>29027.57</v>
      </c>
      <c r="Q7" s="3">
        <v>2</v>
      </c>
      <c r="R7" s="3" t="s">
        <v>1906</v>
      </c>
      <c r="S7" s="3" t="s">
        <v>1903</v>
      </c>
    </row>
    <row r="8" spans="1:19" ht="24" x14ac:dyDescent="0.25">
      <c r="A8" s="2">
        <v>5</v>
      </c>
      <c r="B8" s="2">
        <v>2023</v>
      </c>
      <c r="C8" s="2" t="s">
        <v>1910</v>
      </c>
      <c r="D8" s="2" t="s">
        <v>139</v>
      </c>
      <c r="E8" s="2" t="s">
        <v>1908</v>
      </c>
      <c r="F8" s="2" t="s">
        <v>1896</v>
      </c>
      <c r="G8" s="2" t="s">
        <v>1897</v>
      </c>
      <c r="H8" s="2">
        <v>446.15</v>
      </c>
      <c r="I8" s="2">
        <v>6841.82</v>
      </c>
      <c r="J8" s="2">
        <v>6.52</v>
      </c>
      <c r="K8" s="2">
        <v>286066</v>
      </c>
      <c r="L8" s="2">
        <v>35085</v>
      </c>
      <c r="M8" s="2">
        <v>321151</v>
      </c>
      <c r="N8" s="2">
        <v>20939.05</v>
      </c>
      <c r="O8" s="2">
        <v>2186.36</v>
      </c>
      <c r="P8" s="2">
        <v>146.88999999999999</v>
      </c>
      <c r="Q8" s="2">
        <v>4</v>
      </c>
      <c r="R8" s="2" t="s">
        <v>1911</v>
      </c>
      <c r="S8" s="2" t="s">
        <v>1903</v>
      </c>
    </row>
    <row r="9" spans="1:19" ht="24" x14ac:dyDescent="0.25">
      <c r="A9" s="3">
        <v>6</v>
      </c>
      <c r="B9" s="3">
        <v>2023</v>
      </c>
      <c r="C9" s="3" t="s">
        <v>1912</v>
      </c>
      <c r="D9" s="3" t="s">
        <v>54</v>
      </c>
      <c r="E9" s="3" t="s">
        <v>1913</v>
      </c>
      <c r="F9" s="3" t="s">
        <v>1308</v>
      </c>
      <c r="G9" s="3" t="s">
        <v>1897</v>
      </c>
      <c r="H9" s="3">
        <v>482.13</v>
      </c>
      <c r="I9" s="3">
        <v>1190.8900000000001</v>
      </c>
      <c r="J9" s="3">
        <v>40.479999999999997</v>
      </c>
      <c r="K9" s="3">
        <v>412872</v>
      </c>
      <c r="L9" s="3">
        <v>174804</v>
      </c>
      <c r="M9" s="3">
        <v>587676</v>
      </c>
      <c r="N9" s="3">
        <v>237891.24</v>
      </c>
      <c r="O9" s="3">
        <v>734.75</v>
      </c>
      <c r="P9" s="3">
        <v>799.83</v>
      </c>
      <c r="Q9" s="3">
        <v>1</v>
      </c>
      <c r="R9" s="3" t="s">
        <v>1911</v>
      </c>
      <c r="S9" s="3" t="s">
        <v>1914</v>
      </c>
    </row>
    <row r="10" spans="1:19" ht="24" x14ac:dyDescent="0.25">
      <c r="A10" s="2">
        <v>7</v>
      </c>
      <c r="B10" s="2">
        <v>2023</v>
      </c>
      <c r="C10" s="2" t="s">
        <v>1894</v>
      </c>
      <c r="D10" s="2" t="s">
        <v>65</v>
      </c>
      <c r="E10" s="2" t="s">
        <v>1908</v>
      </c>
      <c r="F10" s="2" t="s">
        <v>1896</v>
      </c>
      <c r="G10" s="2" t="s">
        <v>1897</v>
      </c>
      <c r="H10" s="2">
        <v>229.16</v>
      </c>
      <c r="I10" s="2">
        <v>1131.03</v>
      </c>
      <c r="J10" s="2">
        <v>20.260000000000002</v>
      </c>
      <c r="K10" s="2">
        <v>111562</v>
      </c>
      <c r="L10" s="2">
        <v>64402</v>
      </c>
      <c r="M10" s="2">
        <v>175964</v>
      </c>
      <c r="N10" s="2">
        <v>35650.31</v>
      </c>
      <c r="O10" s="2">
        <v>678.42</v>
      </c>
      <c r="P10" s="2">
        <v>259.37</v>
      </c>
      <c r="Q10" s="2">
        <v>2</v>
      </c>
      <c r="R10" s="2" t="s">
        <v>1906</v>
      </c>
      <c r="S10" s="2" t="s">
        <v>1903</v>
      </c>
    </row>
    <row r="11" spans="1:19" ht="24" x14ac:dyDescent="0.25">
      <c r="A11" s="3">
        <v>8</v>
      </c>
      <c r="B11" s="3">
        <v>2023</v>
      </c>
      <c r="C11" s="3" t="s">
        <v>1915</v>
      </c>
      <c r="D11" s="3" t="s">
        <v>54</v>
      </c>
      <c r="E11" s="3" t="s">
        <v>1916</v>
      </c>
      <c r="F11" s="3" t="s">
        <v>1292</v>
      </c>
      <c r="G11" s="3" t="s">
        <v>1897</v>
      </c>
      <c r="H11" s="3">
        <v>3.36</v>
      </c>
      <c r="I11" s="3">
        <v>19.98</v>
      </c>
      <c r="J11" s="3">
        <v>16.82</v>
      </c>
      <c r="K11" s="3">
        <v>407005</v>
      </c>
      <c r="L11" s="3">
        <v>166345</v>
      </c>
      <c r="M11" s="3">
        <v>573350</v>
      </c>
      <c r="N11" s="3">
        <v>96437.47</v>
      </c>
      <c r="O11" s="3">
        <v>15.77</v>
      </c>
      <c r="P11" s="3">
        <v>36357.01</v>
      </c>
      <c r="Q11" s="3">
        <v>1</v>
      </c>
      <c r="R11" s="3" t="s">
        <v>1911</v>
      </c>
      <c r="S11" s="3" t="s">
        <v>1914</v>
      </c>
    </row>
    <row r="12" spans="1:19" ht="24" x14ac:dyDescent="0.25">
      <c r="A12" s="2">
        <v>9</v>
      </c>
      <c r="B12" s="2">
        <v>2023</v>
      </c>
      <c r="C12" s="2" t="s">
        <v>1917</v>
      </c>
      <c r="D12" s="2" t="s">
        <v>54</v>
      </c>
      <c r="E12" s="2" t="s">
        <v>1918</v>
      </c>
      <c r="F12" s="2" t="s">
        <v>1919</v>
      </c>
      <c r="G12" s="2" t="s">
        <v>1902</v>
      </c>
      <c r="H12" s="2">
        <v>299.77999999999997</v>
      </c>
      <c r="I12" s="2">
        <v>3897.93</v>
      </c>
      <c r="J12" s="2">
        <v>7.69</v>
      </c>
      <c r="K12" s="2">
        <v>129834</v>
      </c>
      <c r="L12" s="2">
        <v>184474</v>
      </c>
      <c r="M12" s="2">
        <v>314308</v>
      </c>
      <c r="N12" s="2">
        <v>24170.29</v>
      </c>
      <c r="O12" s="2">
        <v>2246.29</v>
      </c>
      <c r="P12" s="2">
        <v>139.91999999999999</v>
      </c>
      <c r="Q12" s="2">
        <v>3</v>
      </c>
      <c r="R12" s="2" t="s">
        <v>1898</v>
      </c>
      <c r="S12" s="2" t="s">
        <v>1899</v>
      </c>
    </row>
    <row r="13" spans="1:19" ht="24" x14ac:dyDescent="0.25">
      <c r="A13" s="3">
        <v>10</v>
      </c>
      <c r="B13" s="3">
        <v>2023</v>
      </c>
      <c r="C13" s="3" t="s">
        <v>1907</v>
      </c>
      <c r="D13" s="3" t="s">
        <v>204</v>
      </c>
      <c r="E13" s="3" t="s">
        <v>1918</v>
      </c>
      <c r="F13" s="3" t="s">
        <v>1646</v>
      </c>
      <c r="G13" s="3" t="s">
        <v>1909</v>
      </c>
      <c r="H13" s="3">
        <v>6.1</v>
      </c>
      <c r="I13" s="3">
        <v>102.09</v>
      </c>
      <c r="J13" s="3">
        <v>5.98</v>
      </c>
      <c r="K13" s="3">
        <v>189189</v>
      </c>
      <c r="L13" s="3">
        <v>168606</v>
      </c>
      <c r="M13" s="3">
        <v>357795</v>
      </c>
      <c r="N13" s="3">
        <v>21396.14</v>
      </c>
      <c r="O13" s="3">
        <v>23.75</v>
      </c>
      <c r="P13" s="3">
        <v>15065.05</v>
      </c>
      <c r="Q13" s="3">
        <v>4</v>
      </c>
      <c r="R13" s="3" t="s">
        <v>1906</v>
      </c>
      <c r="S13" s="3" t="s">
        <v>1899</v>
      </c>
    </row>
    <row r="14" spans="1:19" ht="24" x14ac:dyDescent="0.25">
      <c r="A14" s="2">
        <v>11</v>
      </c>
      <c r="B14" s="2">
        <v>2023</v>
      </c>
      <c r="C14" s="2" t="s">
        <v>1920</v>
      </c>
      <c r="D14" s="2" t="s">
        <v>70</v>
      </c>
      <c r="E14" s="2" t="s">
        <v>1921</v>
      </c>
      <c r="F14" s="2" t="s">
        <v>71</v>
      </c>
      <c r="G14" s="2" t="s">
        <v>1909</v>
      </c>
      <c r="H14" s="2">
        <v>383.8</v>
      </c>
      <c r="I14" s="2">
        <v>1490.85</v>
      </c>
      <c r="J14" s="2">
        <v>25.74</v>
      </c>
      <c r="K14" s="2">
        <v>345060</v>
      </c>
      <c r="L14" s="2">
        <v>14570</v>
      </c>
      <c r="M14" s="2">
        <v>359630</v>
      </c>
      <c r="N14" s="2">
        <v>92568.76</v>
      </c>
      <c r="O14" s="2">
        <v>268.45</v>
      </c>
      <c r="P14" s="2">
        <v>1339.65</v>
      </c>
      <c r="Q14" s="2">
        <v>5</v>
      </c>
      <c r="R14" s="2" t="s">
        <v>1922</v>
      </c>
      <c r="S14" s="2" t="s">
        <v>1914</v>
      </c>
    </row>
    <row r="15" spans="1:19" ht="24" x14ac:dyDescent="0.25">
      <c r="A15" s="3">
        <v>12</v>
      </c>
      <c r="B15" s="3">
        <v>2023</v>
      </c>
      <c r="C15" s="3" t="s">
        <v>1923</v>
      </c>
      <c r="D15" s="3" t="s">
        <v>117</v>
      </c>
      <c r="E15" s="3" t="s">
        <v>1918</v>
      </c>
      <c r="F15" s="3" t="s">
        <v>1924</v>
      </c>
      <c r="G15" s="3" t="s">
        <v>1902</v>
      </c>
      <c r="H15" s="3">
        <v>471.81</v>
      </c>
      <c r="I15" s="3">
        <v>2946.56</v>
      </c>
      <c r="J15" s="3">
        <v>16.010000000000002</v>
      </c>
      <c r="K15" s="3">
        <v>340772</v>
      </c>
      <c r="L15" s="3">
        <v>186159</v>
      </c>
      <c r="M15" s="3">
        <v>526931</v>
      </c>
      <c r="N15" s="3">
        <v>84361.65</v>
      </c>
      <c r="O15" s="3">
        <v>1115.99</v>
      </c>
      <c r="P15" s="3">
        <v>472.16</v>
      </c>
      <c r="Q15" s="3">
        <v>3</v>
      </c>
      <c r="R15" s="3" t="s">
        <v>1906</v>
      </c>
      <c r="S15" s="3" t="s">
        <v>1914</v>
      </c>
    </row>
    <row r="16" spans="1:19" ht="24" x14ac:dyDescent="0.25">
      <c r="A16" s="2">
        <v>13</v>
      </c>
      <c r="B16" s="2">
        <v>2023</v>
      </c>
      <c r="C16" s="2" t="s">
        <v>1925</v>
      </c>
      <c r="D16" s="2" t="s">
        <v>110</v>
      </c>
      <c r="E16" s="2" t="s">
        <v>1901</v>
      </c>
      <c r="F16" s="2" t="s">
        <v>1896</v>
      </c>
      <c r="G16" s="2" t="s">
        <v>1897</v>
      </c>
      <c r="H16" s="2">
        <v>198.06</v>
      </c>
      <c r="I16" s="2">
        <v>3542.02</v>
      </c>
      <c r="J16" s="2">
        <v>5.59</v>
      </c>
      <c r="K16" s="2">
        <v>101861</v>
      </c>
      <c r="L16" s="2">
        <v>17757</v>
      </c>
      <c r="M16" s="2">
        <v>119618</v>
      </c>
      <c r="N16" s="2">
        <v>6686.65</v>
      </c>
      <c r="O16" s="2">
        <v>2452.91</v>
      </c>
      <c r="P16" s="2">
        <v>48.77</v>
      </c>
      <c r="Q16" s="2">
        <v>4</v>
      </c>
      <c r="R16" s="2" t="s">
        <v>1906</v>
      </c>
      <c r="S16" s="2" t="s">
        <v>1914</v>
      </c>
    </row>
    <row r="17" spans="1:19" ht="24" x14ac:dyDescent="0.25">
      <c r="A17" s="3">
        <v>14</v>
      </c>
      <c r="B17" s="3">
        <v>2023</v>
      </c>
      <c r="C17" s="3" t="s">
        <v>1926</v>
      </c>
      <c r="D17" s="3" t="s">
        <v>33</v>
      </c>
      <c r="E17" s="3" t="s">
        <v>1927</v>
      </c>
      <c r="F17" s="3" t="s">
        <v>1916</v>
      </c>
      <c r="G17" s="3" t="s">
        <v>1902</v>
      </c>
      <c r="H17" s="3">
        <v>115.09</v>
      </c>
      <c r="I17" s="3">
        <v>1946.43</v>
      </c>
      <c r="J17" s="3">
        <v>5.91</v>
      </c>
      <c r="K17" s="3">
        <v>93055</v>
      </c>
      <c r="L17" s="3">
        <v>152627</v>
      </c>
      <c r="M17" s="3">
        <v>245682</v>
      </c>
      <c r="N17" s="3">
        <v>14519.81</v>
      </c>
      <c r="O17" s="3">
        <v>1293.3800000000001</v>
      </c>
      <c r="P17" s="3">
        <v>189.95</v>
      </c>
      <c r="Q17" s="3">
        <v>2</v>
      </c>
      <c r="R17" s="3" t="s">
        <v>1898</v>
      </c>
      <c r="S17" s="3" t="s">
        <v>1899</v>
      </c>
    </row>
    <row r="18" spans="1:19" ht="24" x14ac:dyDescent="0.25">
      <c r="A18" s="2">
        <v>15</v>
      </c>
      <c r="B18" s="2">
        <v>2023</v>
      </c>
      <c r="C18" s="2" t="s">
        <v>1928</v>
      </c>
      <c r="D18" s="2" t="s">
        <v>88</v>
      </c>
      <c r="E18" s="2" t="s">
        <v>1908</v>
      </c>
      <c r="F18" s="2" t="s">
        <v>1646</v>
      </c>
      <c r="G18" s="2" t="s">
        <v>1909</v>
      </c>
      <c r="H18" s="2">
        <v>384.79</v>
      </c>
      <c r="I18" s="2">
        <v>5295.95</v>
      </c>
      <c r="J18" s="2">
        <v>7.27</v>
      </c>
      <c r="K18" s="2">
        <v>252306</v>
      </c>
      <c r="L18" s="2">
        <v>194914</v>
      </c>
      <c r="M18" s="2">
        <v>447220</v>
      </c>
      <c r="N18" s="2">
        <v>32512.89</v>
      </c>
      <c r="O18" s="2">
        <v>3378.73</v>
      </c>
      <c r="P18" s="2">
        <v>132.36000000000001</v>
      </c>
      <c r="Q18" s="2">
        <v>2</v>
      </c>
      <c r="R18" s="2" t="s">
        <v>1922</v>
      </c>
      <c r="S18" s="2" t="s">
        <v>1903</v>
      </c>
    </row>
    <row r="19" spans="1:19" ht="24" x14ac:dyDescent="0.25">
      <c r="A19" s="3">
        <v>16</v>
      </c>
      <c r="B19" s="3">
        <v>2023</v>
      </c>
      <c r="C19" s="3" t="s">
        <v>1929</v>
      </c>
      <c r="D19" s="3" t="s">
        <v>117</v>
      </c>
      <c r="E19" s="3" t="s">
        <v>1901</v>
      </c>
      <c r="F19" s="3" t="s">
        <v>71</v>
      </c>
      <c r="G19" s="3" t="s">
        <v>1909</v>
      </c>
      <c r="H19" s="3">
        <v>461</v>
      </c>
      <c r="I19" s="3">
        <v>3677.47</v>
      </c>
      <c r="J19" s="3">
        <v>12.54</v>
      </c>
      <c r="K19" s="3">
        <v>101124</v>
      </c>
      <c r="L19" s="3">
        <v>129005</v>
      </c>
      <c r="M19" s="3">
        <v>230129</v>
      </c>
      <c r="N19" s="3">
        <v>28858.18</v>
      </c>
      <c r="O19" s="3">
        <v>1375.07</v>
      </c>
      <c r="P19" s="3">
        <v>167.36</v>
      </c>
      <c r="Q19" s="3">
        <v>2</v>
      </c>
      <c r="R19" s="3" t="s">
        <v>1911</v>
      </c>
      <c r="S19" s="3" t="s">
        <v>1903</v>
      </c>
    </row>
    <row r="20" spans="1:19" ht="24" x14ac:dyDescent="0.25">
      <c r="A20" s="2">
        <v>17</v>
      </c>
      <c r="B20" s="2">
        <v>2023</v>
      </c>
      <c r="C20" s="2" t="s">
        <v>1912</v>
      </c>
      <c r="D20" s="2" t="s">
        <v>117</v>
      </c>
      <c r="E20" s="2" t="s">
        <v>1901</v>
      </c>
      <c r="F20" s="2" t="s">
        <v>1930</v>
      </c>
      <c r="G20" s="2" t="s">
        <v>1909</v>
      </c>
      <c r="H20" s="2">
        <v>329.35</v>
      </c>
      <c r="I20" s="2">
        <v>3168.06</v>
      </c>
      <c r="J20" s="2">
        <v>10.4</v>
      </c>
      <c r="K20" s="2">
        <v>435797</v>
      </c>
      <c r="L20" s="2">
        <v>14342</v>
      </c>
      <c r="M20" s="2">
        <v>450139</v>
      </c>
      <c r="N20" s="2">
        <v>46814.46</v>
      </c>
      <c r="O20" s="2">
        <v>861.85</v>
      </c>
      <c r="P20" s="2">
        <v>522.29</v>
      </c>
      <c r="Q20" s="2">
        <v>5</v>
      </c>
      <c r="R20" s="2" t="s">
        <v>1922</v>
      </c>
      <c r="S20" s="2" t="s">
        <v>1914</v>
      </c>
    </row>
    <row r="21" spans="1:19" ht="24" x14ac:dyDescent="0.25">
      <c r="A21" s="3">
        <v>18</v>
      </c>
      <c r="B21" s="3">
        <v>2023</v>
      </c>
      <c r="C21" s="3" t="s">
        <v>1928</v>
      </c>
      <c r="D21" s="3" t="s">
        <v>70</v>
      </c>
      <c r="E21" s="3" t="s">
        <v>1927</v>
      </c>
      <c r="F21" s="3" t="s">
        <v>1292</v>
      </c>
      <c r="G21" s="3" t="s">
        <v>1909</v>
      </c>
      <c r="H21" s="3">
        <v>56.57</v>
      </c>
      <c r="I21" s="3">
        <v>153.02000000000001</v>
      </c>
      <c r="J21" s="3">
        <v>36.97</v>
      </c>
      <c r="K21" s="3">
        <v>259506</v>
      </c>
      <c r="L21" s="3">
        <v>3984</v>
      </c>
      <c r="M21" s="3">
        <v>263490</v>
      </c>
      <c r="N21" s="3">
        <v>97412.25</v>
      </c>
      <c r="O21" s="3">
        <v>92.48</v>
      </c>
      <c r="P21" s="3">
        <v>2849.16</v>
      </c>
      <c r="Q21" s="3">
        <v>2</v>
      </c>
      <c r="R21" s="3" t="s">
        <v>1906</v>
      </c>
      <c r="S21" s="3" t="s">
        <v>1899</v>
      </c>
    </row>
    <row r="22" spans="1:19" ht="24" x14ac:dyDescent="0.25">
      <c r="A22" s="2">
        <v>19</v>
      </c>
      <c r="B22" s="2">
        <v>2023</v>
      </c>
      <c r="C22" s="2" t="s">
        <v>1931</v>
      </c>
      <c r="D22" s="2" t="s">
        <v>54</v>
      </c>
      <c r="E22" s="2" t="s">
        <v>1916</v>
      </c>
      <c r="F22" s="2" t="s">
        <v>1649</v>
      </c>
      <c r="G22" s="2" t="s">
        <v>1902</v>
      </c>
      <c r="H22" s="2">
        <v>117.6</v>
      </c>
      <c r="I22" s="2">
        <v>1005.77</v>
      </c>
      <c r="J22" s="2">
        <v>11.69</v>
      </c>
      <c r="K22" s="2">
        <v>281793</v>
      </c>
      <c r="L22" s="2">
        <v>162834</v>
      </c>
      <c r="M22" s="2">
        <v>444627</v>
      </c>
      <c r="N22" s="2">
        <v>51976.9</v>
      </c>
      <c r="O22" s="2">
        <v>641.77</v>
      </c>
      <c r="P22" s="2">
        <v>692.81</v>
      </c>
      <c r="Q22" s="2">
        <v>1</v>
      </c>
      <c r="R22" s="2" t="s">
        <v>894</v>
      </c>
      <c r="S22" s="2" t="s">
        <v>1899</v>
      </c>
    </row>
    <row r="23" spans="1:19" ht="24" x14ac:dyDescent="0.25">
      <c r="A23" s="3">
        <v>20</v>
      </c>
      <c r="B23" s="3">
        <v>2023</v>
      </c>
      <c r="C23" s="3" t="s">
        <v>1904</v>
      </c>
      <c r="D23" s="3" t="s">
        <v>154</v>
      </c>
      <c r="E23" s="3" t="s">
        <v>1895</v>
      </c>
      <c r="F23" s="3" t="s">
        <v>1916</v>
      </c>
      <c r="G23" s="3" t="s">
        <v>1902</v>
      </c>
      <c r="H23" s="3">
        <v>37.89</v>
      </c>
      <c r="I23" s="3">
        <v>511.66</v>
      </c>
      <c r="J23" s="3">
        <v>7.41</v>
      </c>
      <c r="K23" s="3">
        <v>455495</v>
      </c>
      <c r="L23" s="3">
        <v>187474</v>
      </c>
      <c r="M23" s="3">
        <v>642969</v>
      </c>
      <c r="N23" s="3">
        <v>47644</v>
      </c>
      <c r="O23" s="3">
        <v>282.11</v>
      </c>
      <c r="P23" s="3">
        <v>2279.14</v>
      </c>
      <c r="Q23" s="3">
        <v>2</v>
      </c>
      <c r="R23" s="3" t="s">
        <v>1898</v>
      </c>
      <c r="S23" s="3" t="s">
        <v>1899</v>
      </c>
    </row>
    <row r="24" spans="1:19" ht="24" x14ac:dyDescent="0.25">
      <c r="A24" s="2">
        <v>21</v>
      </c>
      <c r="B24" s="2">
        <v>2023</v>
      </c>
      <c r="C24" s="2" t="s">
        <v>1932</v>
      </c>
      <c r="D24" s="2" t="s">
        <v>139</v>
      </c>
      <c r="E24" s="2" t="s">
        <v>1927</v>
      </c>
      <c r="F24" s="2" t="s">
        <v>1919</v>
      </c>
      <c r="G24" s="2" t="s">
        <v>1909</v>
      </c>
      <c r="H24" s="2">
        <v>125.77</v>
      </c>
      <c r="I24" s="2">
        <v>2469.17</v>
      </c>
      <c r="J24" s="2">
        <v>5.09</v>
      </c>
      <c r="K24" s="2">
        <v>318712</v>
      </c>
      <c r="L24" s="2">
        <v>96086</v>
      </c>
      <c r="M24" s="2">
        <v>414798</v>
      </c>
      <c r="N24" s="2">
        <v>21113.22</v>
      </c>
      <c r="O24" s="2">
        <v>1800.03</v>
      </c>
      <c r="P24" s="2">
        <v>230.44</v>
      </c>
      <c r="Q24" s="2">
        <v>3</v>
      </c>
      <c r="R24" s="2" t="s">
        <v>1911</v>
      </c>
      <c r="S24" s="2" t="s">
        <v>1903</v>
      </c>
    </row>
    <row r="25" spans="1:19" ht="24" x14ac:dyDescent="0.25">
      <c r="A25" s="3">
        <v>22</v>
      </c>
      <c r="B25" s="3">
        <v>2023</v>
      </c>
      <c r="C25" s="3" t="s">
        <v>1929</v>
      </c>
      <c r="D25" s="3" t="s">
        <v>120</v>
      </c>
      <c r="E25" s="3" t="s">
        <v>1921</v>
      </c>
      <c r="F25" s="3" t="s">
        <v>1905</v>
      </c>
      <c r="G25" s="3" t="s">
        <v>1902</v>
      </c>
      <c r="H25" s="3">
        <v>499.57</v>
      </c>
      <c r="I25" s="3">
        <v>8900.26</v>
      </c>
      <c r="J25" s="3">
        <v>5.61</v>
      </c>
      <c r="K25" s="3">
        <v>184671</v>
      </c>
      <c r="L25" s="3">
        <v>4677</v>
      </c>
      <c r="M25" s="3">
        <v>189348</v>
      </c>
      <c r="N25" s="3">
        <v>10622.42</v>
      </c>
      <c r="O25" s="3">
        <v>5908.13</v>
      </c>
      <c r="P25" s="3">
        <v>32.049999999999997</v>
      </c>
      <c r="Q25" s="3">
        <v>5</v>
      </c>
      <c r="R25" s="3" t="s">
        <v>1911</v>
      </c>
      <c r="S25" s="3" t="s">
        <v>1903</v>
      </c>
    </row>
    <row r="26" spans="1:19" ht="24" x14ac:dyDescent="0.25">
      <c r="A26" s="2">
        <v>23</v>
      </c>
      <c r="B26" s="2">
        <v>2023</v>
      </c>
      <c r="C26" s="2" t="s">
        <v>1932</v>
      </c>
      <c r="D26" s="2" t="s">
        <v>96</v>
      </c>
      <c r="E26" s="2" t="s">
        <v>1921</v>
      </c>
      <c r="F26" s="2" t="s">
        <v>1916</v>
      </c>
      <c r="G26" s="2" t="s">
        <v>1897</v>
      </c>
      <c r="H26" s="2">
        <v>63.39</v>
      </c>
      <c r="I26" s="2">
        <v>829.79</v>
      </c>
      <c r="J26" s="2">
        <v>7.64</v>
      </c>
      <c r="K26" s="2">
        <v>104842</v>
      </c>
      <c r="L26" s="2">
        <v>81456</v>
      </c>
      <c r="M26" s="2">
        <v>186298</v>
      </c>
      <c r="N26" s="2">
        <v>14233.17</v>
      </c>
      <c r="O26" s="2">
        <v>596.23</v>
      </c>
      <c r="P26" s="2">
        <v>312.45999999999998</v>
      </c>
      <c r="Q26" s="2">
        <v>4</v>
      </c>
      <c r="R26" s="2" t="s">
        <v>1922</v>
      </c>
      <c r="S26" s="2" t="s">
        <v>1903</v>
      </c>
    </row>
    <row r="27" spans="1:19" ht="24" x14ac:dyDescent="0.25">
      <c r="A27" s="3">
        <v>24</v>
      </c>
      <c r="B27" s="3">
        <v>2023</v>
      </c>
      <c r="C27" s="3" t="s">
        <v>1925</v>
      </c>
      <c r="D27" s="3" t="s">
        <v>58</v>
      </c>
      <c r="E27" s="3" t="s">
        <v>1916</v>
      </c>
      <c r="F27" s="3" t="s">
        <v>1924</v>
      </c>
      <c r="G27" s="3" t="s">
        <v>1902</v>
      </c>
      <c r="H27" s="3">
        <v>163.68</v>
      </c>
      <c r="I27" s="3">
        <v>1453.37</v>
      </c>
      <c r="J27" s="3">
        <v>11.26</v>
      </c>
      <c r="K27" s="3">
        <v>361931</v>
      </c>
      <c r="L27" s="3">
        <v>41580</v>
      </c>
      <c r="M27" s="3">
        <v>403511</v>
      </c>
      <c r="N27" s="3">
        <v>45435.34</v>
      </c>
      <c r="O27" s="3">
        <v>366.06</v>
      </c>
      <c r="P27" s="3">
        <v>1102.31</v>
      </c>
      <c r="Q27" s="3">
        <v>5</v>
      </c>
      <c r="R27" s="3" t="s">
        <v>1922</v>
      </c>
      <c r="S27" s="3" t="s">
        <v>1903</v>
      </c>
    </row>
    <row r="28" spans="1:19" ht="24" x14ac:dyDescent="0.25">
      <c r="A28" s="2">
        <v>25</v>
      </c>
      <c r="B28" s="2">
        <v>2023</v>
      </c>
      <c r="C28" s="2" t="s">
        <v>1929</v>
      </c>
      <c r="D28" s="2" t="s">
        <v>204</v>
      </c>
      <c r="E28" s="2" t="s">
        <v>1933</v>
      </c>
      <c r="F28" s="2" t="s">
        <v>1308</v>
      </c>
      <c r="G28" s="2" t="s">
        <v>1902</v>
      </c>
      <c r="H28" s="2">
        <v>274.55</v>
      </c>
      <c r="I28" s="2">
        <v>4292.2</v>
      </c>
      <c r="J28" s="2">
        <v>6.4</v>
      </c>
      <c r="K28" s="2">
        <v>204696</v>
      </c>
      <c r="L28" s="2">
        <v>128978</v>
      </c>
      <c r="M28" s="2">
        <v>333674</v>
      </c>
      <c r="N28" s="2">
        <v>21355.14</v>
      </c>
      <c r="O28" s="2">
        <v>1070.73</v>
      </c>
      <c r="P28" s="2">
        <v>311.63</v>
      </c>
      <c r="Q28" s="2">
        <v>4</v>
      </c>
      <c r="R28" s="2" t="s">
        <v>1922</v>
      </c>
      <c r="S28" s="2" t="s">
        <v>1899</v>
      </c>
    </row>
    <row r="29" spans="1:19" ht="24" x14ac:dyDescent="0.25">
      <c r="A29" s="3">
        <v>26</v>
      </c>
      <c r="B29" s="3">
        <v>2023</v>
      </c>
      <c r="C29" s="3" t="s">
        <v>1912</v>
      </c>
      <c r="D29" s="3" t="s">
        <v>33</v>
      </c>
      <c r="E29" s="3" t="s">
        <v>1913</v>
      </c>
      <c r="F29" s="3" t="s">
        <v>1916</v>
      </c>
      <c r="G29" s="3" t="s">
        <v>1909</v>
      </c>
      <c r="H29" s="3">
        <v>206.65</v>
      </c>
      <c r="I29" s="3">
        <v>1072.32</v>
      </c>
      <c r="J29" s="3">
        <v>19.27</v>
      </c>
      <c r="K29" s="3">
        <v>169504</v>
      </c>
      <c r="L29" s="3">
        <v>178040</v>
      </c>
      <c r="M29" s="3">
        <v>347544</v>
      </c>
      <c r="N29" s="3">
        <v>66971.73</v>
      </c>
      <c r="O29" s="3">
        <v>602.38</v>
      </c>
      <c r="P29" s="3">
        <v>576.95000000000005</v>
      </c>
      <c r="Q29" s="3">
        <v>2</v>
      </c>
      <c r="R29" s="3" t="s">
        <v>1898</v>
      </c>
      <c r="S29" s="3" t="s">
        <v>1899</v>
      </c>
    </row>
    <row r="30" spans="1:19" ht="24" x14ac:dyDescent="0.25">
      <c r="A30" s="2">
        <v>27</v>
      </c>
      <c r="B30" s="2">
        <v>2023</v>
      </c>
      <c r="C30" s="2" t="s">
        <v>1915</v>
      </c>
      <c r="D30" s="2" t="s">
        <v>58</v>
      </c>
      <c r="E30" s="2" t="s">
        <v>1916</v>
      </c>
      <c r="F30" s="2" t="s">
        <v>1930</v>
      </c>
      <c r="G30" s="2" t="s">
        <v>1897</v>
      </c>
      <c r="H30" s="2">
        <v>333.83</v>
      </c>
      <c r="I30" s="2">
        <v>2188.73</v>
      </c>
      <c r="J30" s="2">
        <v>15.25</v>
      </c>
      <c r="K30" s="2">
        <v>373240</v>
      </c>
      <c r="L30" s="2">
        <v>112891</v>
      </c>
      <c r="M30" s="2">
        <v>486131</v>
      </c>
      <c r="N30" s="2">
        <v>74134.98</v>
      </c>
      <c r="O30" s="2">
        <v>457.66</v>
      </c>
      <c r="P30" s="2">
        <v>1062.21</v>
      </c>
      <c r="Q30" s="2">
        <v>3</v>
      </c>
      <c r="R30" s="2" t="s">
        <v>1898</v>
      </c>
      <c r="S30" s="2" t="s">
        <v>1914</v>
      </c>
    </row>
    <row r="31" spans="1:19" ht="24" x14ac:dyDescent="0.25">
      <c r="A31" s="3">
        <v>28</v>
      </c>
      <c r="B31" s="3">
        <v>2023</v>
      </c>
      <c r="C31" s="3" t="s">
        <v>1934</v>
      </c>
      <c r="D31" s="3" t="s">
        <v>139</v>
      </c>
      <c r="E31" s="3" t="s">
        <v>1908</v>
      </c>
      <c r="F31" s="3" t="s">
        <v>1635</v>
      </c>
      <c r="G31" s="3" t="s">
        <v>1909</v>
      </c>
      <c r="H31" s="3">
        <v>434.15</v>
      </c>
      <c r="I31" s="3">
        <v>1699.81</v>
      </c>
      <c r="J31" s="3">
        <v>25.54</v>
      </c>
      <c r="K31" s="3">
        <v>465695</v>
      </c>
      <c r="L31" s="3">
        <v>63585</v>
      </c>
      <c r="M31" s="3">
        <v>529280</v>
      </c>
      <c r="N31" s="3">
        <v>135178.10999999999</v>
      </c>
      <c r="O31" s="3">
        <v>1280.1500000000001</v>
      </c>
      <c r="P31" s="3">
        <v>413.45</v>
      </c>
      <c r="Q31" s="3">
        <v>1</v>
      </c>
      <c r="R31" s="3" t="s">
        <v>1906</v>
      </c>
      <c r="S31" s="3" t="s">
        <v>1914</v>
      </c>
    </row>
    <row r="32" spans="1:19" ht="24" x14ac:dyDescent="0.25">
      <c r="A32" s="2">
        <v>29</v>
      </c>
      <c r="B32" s="2">
        <v>2023</v>
      </c>
      <c r="C32" s="2" t="s">
        <v>1935</v>
      </c>
      <c r="D32" s="2" t="s">
        <v>65</v>
      </c>
      <c r="E32" s="2" t="s">
        <v>1913</v>
      </c>
      <c r="F32" s="2" t="s">
        <v>1919</v>
      </c>
      <c r="G32" s="2" t="s">
        <v>1897</v>
      </c>
      <c r="H32" s="2">
        <v>5.33</v>
      </c>
      <c r="I32" s="2">
        <v>93.02</v>
      </c>
      <c r="J32" s="2">
        <v>5.73</v>
      </c>
      <c r="K32" s="2">
        <v>27324</v>
      </c>
      <c r="L32" s="2">
        <v>170594</v>
      </c>
      <c r="M32" s="2">
        <v>197918</v>
      </c>
      <c r="N32" s="2">
        <v>11340.7</v>
      </c>
      <c r="O32" s="2">
        <v>29.7</v>
      </c>
      <c r="P32" s="2">
        <v>6663.91</v>
      </c>
      <c r="Q32" s="2">
        <v>1</v>
      </c>
      <c r="R32" s="2" t="s">
        <v>1922</v>
      </c>
      <c r="S32" s="2" t="s">
        <v>1899</v>
      </c>
    </row>
    <row r="33" spans="1:19" ht="24" x14ac:dyDescent="0.25">
      <c r="A33" s="3">
        <v>30</v>
      </c>
      <c r="B33" s="3">
        <v>2023</v>
      </c>
      <c r="C33" s="3" t="s">
        <v>1904</v>
      </c>
      <c r="D33" s="3" t="s">
        <v>117</v>
      </c>
      <c r="E33" s="3" t="s">
        <v>1933</v>
      </c>
      <c r="F33" s="3" t="s">
        <v>1649</v>
      </c>
      <c r="G33" s="3" t="s">
        <v>1902</v>
      </c>
      <c r="H33" s="3">
        <v>454.71</v>
      </c>
      <c r="I33" s="3">
        <v>5590.11</v>
      </c>
      <c r="J33" s="3">
        <v>8.1300000000000008</v>
      </c>
      <c r="K33" s="3">
        <v>414299</v>
      </c>
      <c r="L33" s="3">
        <v>95280</v>
      </c>
      <c r="M33" s="3">
        <v>509579</v>
      </c>
      <c r="N33" s="3">
        <v>41428.769999999997</v>
      </c>
      <c r="O33" s="3">
        <v>3312.26</v>
      </c>
      <c r="P33" s="3">
        <v>153.85</v>
      </c>
      <c r="Q33" s="3">
        <v>2</v>
      </c>
      <c r="R33" s="3" t="s">
        <v>1911</v>
      </c>
      <c r="S33" s="3" t="s">
        <v>1914</v>
      </c>
    </row>
    <row r="34" spans="1:19" ht="24" x14ac:dyDescent="0.25">
      <c r="A34" s="2">
        <v>31</v>
      </c>
      <c r="B34" s="2">
        <v>2023</v>
      </c>
      <c r="C34" s="2" t="s">
        <v>1894</v>
      </c>
      <c r="D34" s="2" t="s">
        <v>96</v>
      </c>
      <c r="E34" s="2" t="s">
        <v>1918</v>
      </c>
      <c r="F34" s="2" t="s">
        <v>1936</v>
      </c>
      <c r="G34" s="2" t="s">
        <v>1909</v>
      </c>
      <c r="H34" s="2">
        <v>208.18</v>
      </c>
      <c r="I34" s="2">
        <v>2362.35</v>
      </c>
      <c r="J34" s="2">
        <v>8.81</v>
      </c>
      <c r="K34" s="2">
        <v>309526</v>
      </c>
      <c r="L34" s="2">
        <v>32077</v>
      </c>
      <c r="M34" s="2">
        <v>341603</v>
      </c>
      <c r="N34" s="2">
        <v>30095.22</v>
      </c>
      <c r="O34" s="2">
        <v>1149.58</v>
      </c>
      <c r="P34" s="2">
        <v>297.14999999999998</v>
      </c>
      <c r="Q34" s="2">
        <v>1</v>
      </c>
      <c r="R34" s="2" t="s">
        <v>1911</v>
      </c>
      <c r="S34" s="2" t="s">
        <v>1903</v>
      </c>
    </row>
    <row r="35" spans="1:19" ht="24" x14ac:dyDescent="0.25">
      <c r="A35" s="3">
        <v>32</v>
      </c>
      <c r="B35" s="3">
        <v>2023</v>
      </c>
      <c r="C35" s="3" t="s">
        <v>1907</v>
      </c>
      <c r="D35" s="3" t="s">
        <v>120</v>
      </c>
      <c r="E35" s="3" t="s">
        <v>1927</v>
      </c>
      <c r="F35" s="3" t="s">
        <v>1937</v>
      </c>
      <c r="G35" s="3" t="s">
        <v>1897</v>
      </c>
      <c r="H35" s="3">
        <v>49.44</v>
      </c>
      <c r="I35" s="3">
        <v>110.18</v>
      </c>
      <c r="J35" s="3">
        <v>44.87</v>
      </c>
      <c r="K35" s="3">
        <v>440236</v>
      </c>
      <c r="L35" s="3">
        <v>94826</v>
      </c>
      <c r="M35" s="3">
        <v>535062</v>
      </c>
      <c r="N35" s="3">
        <v>240082.32</v>
      </c>
      <c r="O35" s="3">
        <v>47.8</v>
      </c>
      <c r="P35" s="3">
        <v>11193.77</v>
      </c>
      <c r="Q35" s="3">
        <v>5</v>
      </c>
      <c r="R35" s="3" t="s">
        <v>894</v>
      </c>
      <c r="S35" s="3" t="s">
        <v>1914</v>
      </c>
    </row>
    <row r="36" spans="1:19" ht="24" x14ac:dyDescent="0.25">
      <c r="A36" s="2">
        <v>33</v>
      </c>
      <c r="B36" s="2">
        <v>2023</v>
      </c>
      <c r="C36" s="2" t="s">
        <v>1900</v>
      </c>
      <c r="D36" s="2" t="s">
        <v>24</v>
      </c>
      <c r="E36" s="2" t="s">
        <v>1927</v>
      </c>
      <c r="F36" s="2" t="s">
        <v>71</v>
      </c>
      <c r="G36" s="2" t="s">
        <v>1909</v>
      </c>
      <c r="H36" s="2">
        <v>224.22</v>
      </c>
      <c r="I36" s="2">
        <v>418.7</v>
      </c>
      <c r="J36" s="2">
        <v>53.55</v>
      </c>
      <c r="K36" s="2">
        <v>246392</v>
      </c>
      <c r="L36" s="2">
        <v>134516</v>
      </c>
      <c r="M36" s="2">
        <v>380908</v>
      </c>
      <c r="N36" s="2">
        <v>203976.23</v>
      </c>
      <c r="O36" s="2">
        <v>142.63999999999999</v>
      </c>
      <c r="P36" s="2">
        <v>2670.42</v>
      </c>
      <c r="Q36" s="2">
        <v>2</v>
      </c>
      <c r="R36" s="2" t="s">
        <v>894</v>
      </c>
      <c r="S36" s="2" t="s">
        <v>1903</v>
      </c>
    </row>
    <row r="37" spans="1:19" ht="24" x14ac:dyDescent="0.25">
      <c r="A37" s="3">
        <v>34</v>
      </c>
      <c r="B37" s="3">
        <v>2023</v>
      </c>
      <c r="C37" s="3" t="s">
        <v>1925</v>
      </c>
      <c r="D37" s="3" t="s">
        <v>154</v>
      </c>
      <c r="E37" s="3" t="s">
        <v>1927</v>
      </c>
      <c r="F37" s="3" t="s">
        <v>81</v>
      </c>
      <c r="G37" s="3" t="s">
        <v>1902</v>
      </c>
      <c r="H37" s="3">
        <v>339.01</v>
      </c>
      <c r="I37" s="3">
        <v>6258.17</v>
      </c>
      <c r="J37" s="3">
        <v>5.42</v>
      </c>
      <c r="K37" s="3">
        <v>56375</v>
      </c>
      <c r="L37" s="3">
        <v>187038</v>
      </c>
      <c r="M37" s="3">
        <v>243413</v>
      </c>
      <c r="N37" s="3">
        <v>13192.98</v>
      </c>
      <c r="O37" s="3">
        <v>4833.12</v>
      </c>
      <c r="P37" s="3">
        <v>50.36</v>
      </c>
      <c r="Q37" s="3">
        <v>1</v>
      </c>
      <c r="R37" s="3" t="s">
        <v>1922</v>
      </c>
      <c r="S37" s="3" t="s">
        <v>1899</v>
      </c>
    </row>
    <row r="38" spans="1:19" ht="24" x14ac:dyDescent="0.25">
      <c r="A38" s="2">
        <v>35</v>
      </c>
      <c r="B38" s="2">
        <v>2023</v>
      </c>
      <c r="C38" s="2" t="s">
        <v>1935</v>
      </c>
      <c r="D38" s="2" t="s">
        <v>54</v>
      </c>
      <c r="E38" s="2" t="s">
        <v>1918</v>
      </c>
      <c r="F38" s="2" t="s">
        <v>1919</v>
      </c>
      <c r="G38" s="2" t="s">
        <v>1902</v>
      </c>
      <c r="H38" s="2">
        <v>491.8</v>
      </c>
      <c r="I38" s="2">
        <v>5239.08</v>
      </c>
      <c r="J38" s="2">
        <v>9.39</v>
      </c>
      <c r="K38" s="2">
        <v>311309</v>
      </c>
      <c r="L38" s="2">
        <v>118269</v>
      </c>
      <c r="M38" s="2">
        <v>429578</v>
      </c>
      <c r="N38" s="2">
        <v>40337.370000000003</v>
      </c>
      <c r="O38" s="2">
        <v>4160.83</v>
      </c>
      <c r="P38" s="2">
        <v>103.24</v>
      </c>
      <c r="Q38" s="2">
        <v>3</v>
      </c>
      <c r="R38" s="2" t="s">
        <v>894</v>
      </c>
      <c r="S38" s="2" t="s">
        <v>1914</v>
      </c>
    </row>
    <row r="39" spans="1:19" ht="24" x14ac:dyDescent="0.25">
      <c r="A39" s="3">
        <v>36</v>
      </c>
      <c r="B39" s="3">
        <v>2023</v>
      </c>
      <c r="C39" s="3" t="s">
        <v>1932</v>
      </c>
      <c r="D39" s="3" t="s">
        <v>33</v>
      </c>
      <c r="E39" s="3" t="s">
        <v>1927</v>
      </c>
      <c r="F39" s="3" t="s">
        <v>1896</v>
      </c>
      <c r="G39" s="3" t="s">
        <v>1897</v>
      </c>
      <c r="H39" s="3">
        <v>245.31</v>
      </c>
      <c r="I39" s="3">
        <v>4478.7700000000004</v>
      </c>
      <c r="J39" s="3">
        <v>5.48</v>
      </c>
      <c r="K39" s="3">
        <v>26954</v>
      </c>
      <c r="L39" s="3">
        <v>48141</v>
      </c>
      <c r="M39" s="3">
        <v>75095</v>
      </c>
      <c r="N39" s="3">
        <v>4115.21</v>
      </c>
      <c r="O39" s="3">
        <v>1409.22</v>
      </c>
      <c r="P39" s="3">
        <v>53.29</v>
      </c>
      <c r="Q39" s="3">
        <v>4</v>
      </c>
      <c r="R39" s="3" t="s">
        <v>1906</v>
      </c>
      <c r="S39" s="3" t="s">
        <v>1903</v>
      </c>
    </row>
    <row r="40" spans="1:19" ht="24" x14ac:dyDescent="0.25">
      <c r="A40" s="2">
        <v>37</v>
      </c>
      <c r="B40" s="2">
        <v>2023</v>
      </c>
      <c r="C40" s="2" t="s">
        <v>1938</v>
      </c>
      <c r="D40" s="2" t="s">
        <v>117</v>
      </c>
      <c r="E40" s="2" t="s">
        <v>1895</v>
      </c>
      <c r="F40" s="2" t="s">
        <v>1919</v>
      </c>
      <c r="G40" s="2" t="s">
        <v>1897</v>
      </c>
      <c r="H40" s="2">
        <v>276.08999999999997</v>
      </c>
      <c r="I40" s="2">
        <v>1081.45</v>
      </c>
      <c r="J40" s="2">
        <v>25.53</v>
      </c>
      <c r="K40" s="2">
        <v>489146</v>
      </c>
      <c r="L40" s="2">
        <v>125022</v>
      </c>
      <c r="M40" s="2">
        <v>614168</v>
      </c>
      <c r="N40" s="2">
        <v>156797.09</v>
      </c>
      <c r="O40" s="2">
        <v>664.28</v>
      </c>
      <c r="P40" s="2">
        <v>924.56</v>
      </c>
      <c r="Q40" s="2">
        <v>4</v>
      </c>
      <c r="R40" s="2" t="s">
        <v>1898</v>
      </c>
      <c r="S40" s="2" t="s">
        <v>1914</v>
      </c>
    </row>
    <row r="41" spans="1:19" ht="24" x14ac:dyDescent="0.25">
      <c r="A41" s="3">
        <v>38</v>
      </c>
      <c r="B41" s="3">
        <v>2023</v>
      </c>
      <c r="C41" s="3" t="s">
        <v>1939</v>
      </c>
      <c r="D41" s="3" t="s">
        <v>33</v>
      </c>
      <c r="E41" s="3" t="s">
        <v>1927</v>
      </c>
      <c r="F41" s="3" t="s">
        <v>1930</v>
      </c>
      <c r="G41" s="3" t="s">
        <v>1897</v>
      </c>
      <c r="H41" s="3">
        <v>347.95</v>
      </c>
      <c r="I41" s="3">
        <v>2261.7600000000002</v>
      </c>
      <c r="J41" s="3">
        <v>15.38</v>
      </c>
      <c r="K41" s="3">
        <v>188196</v>
      </c>
      <c r="L41" s="3">
        <v>73675</v>
      </c>
      <c r="M41" s="3">
        <v>261871</v>
      </c>
      <c r="N41" s="3">
        <v>40275.760000000002</v>
      </c>
      <c r="O41" s="3">
        <v>1037.72</v>
      </c>
      <c r="P41" s="3">
        <v>252.35</v>
      </c>
      <c r="Q41" s="3">
        <v>3</v>
      </c>
      <c r="R41" s="3" t="s">
        <v>894</v>
      </c>
      <c r="S41" s="3" t="s">
        <v>1914</v>
      </c>
    </row>
    <row r="42" spans="1:19" ht="24" x14ac:dyDescent="0.25">
      <c r="A42" s="2">
        <v>39</v>
      </c>
      <c r="B42" s="2">
        <v>2023</v>
      </c>
      <c r="C42" s="2" t="s">
        <v>1940</v>
      </c>
      <c r="D42" s="2" t="s">
        <v>70</v>
      </c>
      <c r="E42" s="2" t="s">
        <v>1927</v>
      </c>
      <c r="F42" s="2" t="s">
        <v>1924</v>
      </c>
      <c r="G42" s="2" t="s">
        <v>1902</v>
      </c>
      <c r="H42" s="2">
        <v>244.93</v>
      </c>
      <c r="I42" s="2">
        <v>1575.74</v>
      </c>
      <c r="J42" s="2">
        <v>15.54</v>
      </c>
      <c r="K42" s="2">
        <v>456765</v>
      </c>
      <c r="L42" s="2">
        <v>183796</v>
      </c>
      <c r="M42" s="2">
        <v>640561</v>
      </c>
      <c r="N42" s="2">
        <v>99543.18</v>
      </c>
      <c r="O42" s="2">
        <v>251.1</v>
      </c>
      <c r="P42" s="2">
        <v>2551.02</v>
      </c>
      <c r="Q42" s="2">
        <v>1</v>
      </c>
      <c r="R42" s="2" t="s">
        <v>1906</v>
      </c>
      <c r="S42" s="2" t="s">
        <v>1914</v>
      </c>
    </row>
    <row r="43" spans="1:19" ht="24" x14ac:dyDescent="0.25">
      <c r="A43" s="3">
        <v>40</v>
      </c>
      <c r="B43" s="3">
        <v>2023</v>
      </c>
      <c r="C43" s="3" t="s">
        <v>1926</v>
      </c>
      <c r="D43" s="3" t="s">
        <v>92</v>
      </c>
      <c r="E43" s="3" t="s">
        <v>1933</v>
      </c>
      <c r="F43" s="3" t="s">
        <v>1924</v>
      </c>
      <c r="G43" s="3" t="s">
        <v>1909</v>
      </c>
      <c r="H43" s="3">
        <v>403.31</v>
      </c>
      <c r="I43" s="3">
        <v>1403.69</v>
      </c>
      <c r="J43" s="3">
        <v>28.73</v>
      </c>
      <c r="K43" s="3">
        <v>38133</v>
      </c>
      <c r="L43" s="3">
        <v>74991</v>
      </c>
      <c r="M43" s="3">
        <v>113124</v>
      </c>
      <c r="N43" s="3">
        <v>32500.53</v>
      </c>
      <c r="O43" s="3">
        <v>291.69</v>
      </c>
      <c r="P43" s="3">
        <v>387.82</v>
      </c>
      <c r="Q43" s="3">
        <v>1</v>
      </c>
      <c r="R43" s="3" t="s">
        <v>1906</v>
      </c>
      <c r="S43" s="3" t="s">
        <v>1899</v>
      </c>
    </row>
    <row r="44" spans="1:19" ht="24" x14ac:dyDescent="0.25">
      <c r="A44" s="2">
        <v>41</v>
      </c>
      <c r="B44" s="2">
        <v>2023</v>
      </c>
      <c r="C44" s="2" t="s">
        <v>1932</v>
      </c>
      <c r="D44" s="2" t="s">
        <v>154</v>
      </c>
      <c r="E44" s="2" t="s">
        <v>1927</v>
      </c>
      <c r="F44" s="2" t="s">
        <v>1649</v>
      </c>
      <c r="G44" s="2" t="s">
        <v>1902</v>
      </c>
      <c r="H44" s="2">
        <v>403.69</v>
      </c>
      <c r="I44" s="2">
        <v>7104.12</v>
      </c>
      <c r="J44" s="2">
        <v>5.68</v>
      </c>
      <c r="K44" s="2">
        <v>309113</v>
      </c>
      <c r="L44" s="2">
        <v>31671</v>
      </c>
      <c r="M44" s="2">
        <v>340784</v>
      </c>
      <c r="N44" s="2">
        <v>19356.53</v>
      </c>
      <c r="O44" s="2">
        <v>3824.07</v>
      </c>
      <c r="P44" s="2">
        <v>89.12</v>
      </c>
      <c r="Q44" s="2">
        <v>1</v>
      </c>
      <c r="R44" s="2" t="s">
        <v>894</v>
      </c>
      <c r="S44" s="2" t="s">
        <v>1914</v>
      </c>
    </row>
    <row r="45" spans="1:19" ht="24" x14ac:dyDescent="0.25">
      <c r="A45" s="3">
        <v>42</v>
      </c>
      <c r="B45" s="3">
        <v>2023</v>
      </c>
      <c r="C45" s="3" t="s">
        <v>1917</v>
      </c>
      <c r="D45" s="3" t="s">
        <v>24</v>
      </c>
      <c r="E45" s="3" t="s">
        <v>1908</v>
      </c>
      <c r="F45" s="3" t="s">
        <v>1905</v>
      </c>
      <c r="G45" s="3" t="s">
        <v>1902</v>
      </c>
      <c r="H45" s="3">
        <v>29.03</v>
      </c>
      <c r="I45" s="3">
        <v>118.04</v>
      </c>
      <c r="J45" s="3">
        <v>24.59</v>
      </c>
      <c r="K45" s="3">
        <v>459083</v>
      </c>
      <c r="L45" s="3">
        <v>185349</v>
      </c>
      <c r="M45" s="3">
        <v>644432</v>
      </c>
      <c r="N45" s="3">
        <v>158465.82999999999</v>
      </c>
      <c r="O45" s="3">
        <v>27.14</v>
      </c>
      <c r="P45" s="3">
        <v>23744.73</v>
      </c>
      <c r="Q45" s="3">
        <v>2</v>
      </c>
      <c r="R45" s="3" t="s">
        <v>1911</v>
      </c>
      <c r="S45" s="3" t="s">
        <v>1914</v>
      </c>
    </row>
    <row r="46" spans="1:19" ht="24" x14ac:dyDescent="0.25">
      <c r="A46" s="2">
        <v>43</v>
      </c>
      <c r="B46" s="2">
        <v>2023</v>
      </c>
      <c r="C46" s="2" t="s">
        <v>1917</v>
      </c>
      <c r="D46" s="2" t="s">
        <v>204</v>
      </c>
      <c r="E46" s="2" t="s">
        <v>1913</v>
      </c>
      <c r="F46" s="2" t="s">
        <v>1916</v>
      </c>
      <c r="G46" s="2" t="s">
        <v>1897</v>
      </c>
      <c r="H46" s="2">
        <v>358.77</v>
      </c>
      <c r="I46" s="2">
        <v>3106.11</v>
      </c>
      <c r="J46" s="2">
        <v>11.55</v>
      </c>
      <c r="K46" s="2">
        <v>313100</v>
      </c>
      <c r="L46" s="2">
        <v>38931</v>
      </c>
      <c r="M46" s="2">
        <v>352031</v>
      </c>
      <c r="N46" s="2">
        <v>40659.58</v>
      </c>
      <c r="O46" s="2">
        <v>2088.19</v>
      </c>
      <c r="P46" s="2">
        <v>168.58</v>
      </c>
      <c r="Q46" s="2">
        <v>5</v>
      </c>
      <c r="R46" s="2" t="s">
        <v>1906</v>
      </c>
      <c r="S46" s="2" t="s">
        <v>1903</v>
      </c>
    </row>
    <row r="47" spans="1:19" ht="24" x14ac:dyDescent="0.25">
      <c r="A47" s="3">
        <v>44</v>
      </c>
      <c r="B47" s="3">
        <v>2023</v>
      </c>
      <c r="C47" s="3" t="s">
        <v>1923</v>
      </c>
      <c r="D47" s="3" t="s">
        <v>58</v>
      </c>
      <c r="E47" s="3" t="s">
        <v>1916</v>
      </c>
      <c r="F47" s="3" t="s">
        <v>1936</v>
      </c>
      <c r="G47" s="3" t="s">
        <v>1909</v>
      </c>
      <c r="H47" s="3">
        <v>93.28</v>
      </c>
      <c r="I47" s="3">
        <v>150.81</v>
      </c>
      <c r="J47" s="3">
        <v>61.85</v>
      </c>
      <c r="K47" s="3">
        <v>88750</v>
      </c>
      <c r="L47" s="3">
        <v>39945</v>
      </c>
      <c r="M47" s="3">
        <v>128695</v>
      </c>
      <c r="N47" s="3">
        <v>79597.86</v>
      </c>
      <c r="O47" s="3">
        <v>30.27</v>
      </c>
      <c r="P47" s="3">
        <v>4251.57</v>
      </c>
      <c r="Q47" s="3">
        <v>1</v>
      </c>
      <c r="R47" s="3" t="s">
        <v>1911</v>
      </c>
      <c r="S47" s="3" t="s">
        <v>1914</v>
      </c>
    </row>
    <row r="48" spans="1:19" ht="24" x14ac:dyDescent="0.25">
      <c r="A48" s="2">
        <v>45</v>
      </c>
      <c r="B48" s="2">
        <v>2023</v>
      </c>
      <c r="C48" s="2" t="s">
        <v>1904</v>
      </c>
      <c r="D48" s="2" t="s">
        <v>58</v>
      </c>
      <c r="E48" s="2" t="s">
        <v>1895</v>
      </c>
      <c r="F48" s="2" t="s">
        <v>1308</v>
      </c>
      <c r="G48" s="2" t="s">
        <v>1902</v>
      </c>
      <c r="H48" s="2">
        <v>424.46</v>
      </c>
      <c r="I48" s="2">
        <v>6575.44</v>
      </c>
      <c r="J48" s="2">
        <v>6.46</v>
      </c>
      <c r="K48" s="2">
        <v>114630</v>
      </c>
      <c r="L48" s="2">
        <v>79236</v>
      </c>
      <c r="M48" s="2">
        <v>193866</v>
      </c>
      <c r="N48" s="2">
        <v>12523.74</v>
      </c>
      <c r="O48" s="2">
        <v>4505.68</v>
      </c>
      <c r="P48" s="2">
        <v>43.03</v>
      </c>
      <c r="Q48" s="2">
        <v>3</v>
      </c>
      <c r="R48" s="2" t="s">
        <v>1911</v>
      </c>
      <c r="S48" s="2" t="s">
        <v>1903</v>
      </c>
    </row>
    <row r="49" spans="1:19" ht="24" x14ac:dyDescent="0.25">
      <c r="A49" s="3">
        <v>46</v>
      </c>
      <c r="B49" s="3">
        <v>2023</v>
      </c>
      <c r="C49" s="3" t="s">
        <v>1940</v>
      </c>
      <c r="D49" s="3" t="s">
        <v>117</v>
      </c>
      <c r="E49" s="3" t="s">
        <v>1918</v>
      </c>
      <c r="F49" s="3" t="s">
        <v>1649</v>
      </c>
      <c r="G49" s="3" t="s">
        <v>1909</v>
      </c>
      <c r="H49" s="3">
        <v>126.22</v>
      </c>
      <c r="I49" s="3">
        <v>994.37</v>
      </c>
      <c r="J49" s="3">
        <v>12.69</v>
      </c>
      <c r="K49" s="3">
        <v>121145</v>
      </c>
      <c r="L49" s="3">
        <v>1893</v>
      </c>
      <c r="M49" s="3">
        <v>123038</v>
      </c>
      <c r="N49" s="3">
        <v>15613.52</v>
      </c>
      <c r="O49" s="3">
        <v>719.32</v>
      </c>
      <c r="P49" s="3">
        <v>171.05</v>
      </c>
      <c r="Q49" s="3">
        <v>1</v>
      </c>
      <c r="R49" s="3" t="s">
        <v>1906</v>
      </c>
      <c r="S49" s="3" t="s">
        <v>1914</v>
      </c>
    </row>
    <row r="50" spans="1:19" ht="24" x14ac:dyDescent="0.25">
      <c r="A50" s="2">
        <v>47</v>
      </c>
      <c r="B50" s="2">
        <v>2023</v>
      </c>
      <c r="C50" s="2" t="s">
        <v>1940</v>
      </c>
      <c r="D50" s="2" t="s">
        <v>92</v>
      </c>
      <c r="E50" s="2" t="s">
        <v>1921</v>
      </c>
      <c r="F50" s="2" t="s">
        <v>1896</v>
      </c>
      <c r="G50" s="2" t="s">
        <v>1902</v>
      </c>
      <c r="H50" s="2">
        <v>247.47</v>
      </c>
      <c r="I50" s="2">
        <v>4503.91</v>
      </c>
      <c r="J50" s="2">
        <v>5.49</v>
      </c>
      <c r="K50" s="2">
        <v>31142</v>
      </c>
      <c r="L50" s="2">
        <v>151252</v>
      </c>
      <c r="M50" s="2">
        <v>182394</v>
      </c>
      <c r="N50" s="2">
        <v>10013.43</v>
      </c>
      <c r="O50" s="2">
        <v>1806.37</v>
      </c>
      <c r="P50" s="2">
        <v>100.97</v>
      </c>
      <c r="Q50" s="2">
        <v>1</v>
      </c>
      <c r="R50" s="2" t="s">
        <v>1922</v>
      </c>
      <c r="S50" s="2" t="s">
        <v>1899</v>
      </c>
    </row>
    <row r="51" spans="1:19" ht="24" x14ac:dyDescent="0.25">
      <c r="A51" s="3">
        <v>48</v>
      </c>
      <c r="B51" s="3">
        <v>2023</v>
      </c>
      <c r="C51" s="3" t="s">
        <v>1941</v>
      </c>
      <c r="D51" s="3" t="s">
        <v>117</v>
      </c>
      <c r="E51" s="3" t="s">
        <v>1927</v>
      </c>
      <c r="F51" s="3" t="s">
        <v>1916</v>
      </c>
      <c r="G51" s="3" t="s">
        <v>1897</v>
      </c>
      <c r="H51" s="3">
        <v>385.92</v>
      </c>
      <c r="I51" s="3">
        <v>7107.8</v>
      </c>
      <c r="J51" s="3">
        <v>5.43</v>
      </c>
      <c r="K51" s="3">
        <v>349340</v>
      </c>
      <c r="L51" s="3">
        <v>121299</v>
      </c>
      <c r="M51" s="3">
        <v>470639</v>
      </c>
      <c r="N51" s="3">
        <v>25555.7</v>
      </c>
      <c r="O51" s="3">
        <v>5483.72</v>
      </c>
      <c r="P51" s="3">
        <v>85.82</v>
      </c>
      <c r="Q51" s="3">
        <v>4</v>
      </c>
      <c r="R51" s="3" t="s">
        <v>1922</v>
      </c>
      <c r="S51" s="3" t="s">
        <v>1903</v>
      </c>
    </row>
    <row r="52" spans="1:19" ht="24" x14ac:dyDescent="0.25">
      <c r="A52" s="2">
        <v>49</v>
      </c>
      <c r="B52" s="2">
        <v>2023</v>
      </c>
      <c r="C52" s="2" t="s">
        <v>1920</v>
      </c>
      <c r="D52" s="2" t="s">
        <v>120</v>
      </c>
      <c r="E52" s="2" t="s">
        <v>1927</v>
      </c>
      <c r="F52" s="2" t="s">
        <v>1905</v>
      </c>
      <c r="G52" s="2" t="s">
        <v>1897</v>
      </c>
      <c r="H52" s="2">
        <v>150.82</v>
      </c>
      <c r="I52" s="2">
        <v>1590.87</v>
      </c>
      <c r="J52" s="2">
        <v>9.48</v>
      </c>
      <c r="K52" s="2">
        <v>273413</v>
      </c>
      <c r="L52" s="2">
        <v>149121</v>
      </c>
      <c r="M52" s="2">
        <v>422534</v>
      </c>
      <c r="N52" s="2">
        <v>40056.22</v>
      </c>
      <c r="O52" s="2">
        <v>413.11</v>
      </c>
      <c r="P52" s="2">
        <v>1022.81</v>
      </c>
      <c r="Q52" s="2">
        <v>4</v>
      </c>
      <c r="R52" s="2" t="s">
        <v>1922</v>
      </c>
      <c r="S52" s="2" t="s">
        <v>1903</v>
      </c>
    </row>
    <row r="53" spans="1:19" ht="24" x14ac:dyDescent="0.25">
      <c r="A53" s="3">
        <v>50</v>
      </c>
      <c r="B53" s="3">
        <v>2023</v>
      </c>
      <c r="C53" s="3" t="s">
        <v>1939</v>
      </c>
      <c r="D53" s="3" t="s">
        <v>120</v>
      </c>
      <c r="E53" s="3" t="s">
        <v>1913</v>
      </c>
      <c r="F53" s="3" t="s">
        <v>1649</v>
      </c>
      <c r="G53" s="3" t="s">
        <v>1897</v>
      </c>
      <c r="H53" s="3">
        <v>232.35</v>
      </c>
      <c r="I53" s="3">
        <v>4213.24</v>
      </c>
      <c r="J53" s="3">
        <v>5.51</v>
      </c>
      <c r="K53" s="3">
        <v>226636</v>
      </c>
      <c r="L53" s="3">
        <v>28846</v>
      </c>
      <c r="M53" s="3">
        <v>255482</v>
      </c>
      <c r="N53" s="3">
        <v>14077.06</v>
      </c>
      <c r="O53" s="3">
        <v>2634.9</v>
      </c>
      <c r="P53" s="3">
        <v>96.96</v>
      </c>
      <c r="Q53" s="3">
        <v>4</v>
      </c>
      <c r="R53" s="3" t="s">
        <v>1911</v>
      </c>
      <c r="S53" s="3" t="s">
        <v>1903</v>
      </c>
    </row>
    <row r="54" spans="1:19" ht="24" x14ac:dyDescent="0.25">
      <c r="A54" s="2">
        <v>51</v>
      </c>
      <c r="B54" s="2">
        <v>2023</v>
      </c>
      <c r="C54" s="2" t="s">
        <v>1920</v>
      </c>
      <c r="D54" s="2" t="s">
        <v>65</v>
      </c>
      <c r="E54" s="2" t="s">
        <v>1933</v>
      </c>
      <c r="F54" s="2" t="s">
        <v>1896</v>
      </c>
      <c r="G54" s="2" t="s">
        <v>1897</v>
      </c>
      <c r="H54" s="2">
        <v>183.49</v>
      </c>
      <c r="I54" s="2">
        <v>1749.77</v>
      </c>
      <c r="J54" s="2">
        <v>10.49</v>
      </c>
      <c r="K54" s="2">
        <v>408885</v>
      </c>
      <c r="L54" s="2">
        <v>181120</v>
      </c>
      <c r="M54" s="2">
        <v>590005</v>
      </c>
      <c r="N54" s="2">
        <v>61891.519999999997</v>
      </c>
      <c r="O54" s="2">
        <v>359.98</v>
      </c>
      <c r="P54" s="2">
        <v>1638.99</v>
      </c>
      <c r="Q54" s="2">
        <v>4</v>
      </c>
      <c r="R54" s="2" t="s">
        <v>1911</v>
      </c>
      <c r="S54" s="2" t="s">
        <v>1903</v>
      </c>
    </row>
    <row r="55" spans="1:19" ht="24" x14ac:dyDescent="0.25">
      <c r="A55" s="3">
        <v>52</v>
      </c>
      <c r="B55" s="3">
        <v>2023</v>
      </c>
      <c r="C55" s="3" t="s">
        <v>1923</v>
      </c>
      <c r="D55" s="3" t="s">
        <v>117</v>
      </c>
      <c r="E55" s="3" t="s">
        <v>1916</v>
      </c>
      <c r="F55" s="3" t="s">
        <v>1919</v>
      </c>
      <c r="G55" s="3" t="s">
        <v>1897</v>
      </c>
      <c r="H55" s="3">
        <v>169.32</v>
      </c>
      <c r="I55" s="3">
        <v>321.89</v>
      </c>
      <c r="J55" s="3">
        <v>52.6</v>
      </c>
      <c r="K55" s="3">
        <v>196724</v>
      </c>
      <c r="L55" s="3">
        <v>61053</v>
      </c>
      <c r="M55" s="3">
        <v>257777</v>
      </c>
      <c r="N55" s="3">
        <v>135590.70000000001</v>
      </c>
      <c r="O55" s="3">
        <v>247.42</v>
      </c>
      <c r="P55" s="3">
        <v>1041.8599999999999</v>
      </c>
      <c r="Q55" s="3">
        <v>5</v>
      </c>
      <c r="R55" s="3" t="s">
        <v>1898</v>
      </c>
      <c r="S55" s="3" t="s">
        <v>1903</v>
      </c>
    </row>
    <row r="56" spans="1:19" ht="24" x14ac:dyDescent="0.25">
      <c r="A56" s="2">
        <v>53</v>
      </c>
      <c r="B56" s="2">
        <v>2023</v>
      </c>
      <c r="C56" s="2" t="s">
        <v>1931</v>
      </c>
      <c r="D56" s="2" t="s">
        <v>24</v>
      </c>
      <c r="E56" s="2" t="s">
        <v>1927</v>
      </c>
      <c r="F56" s="2" t="s">
        <v>1936</v>
      </c>
      <c r="G56" s="2" t="s">
        <v>1897</v>
      </c>
      <c r="H56" s="2">
        <v>218.12</v>
      </c>
      <c r="I56" s="2">
        <v>3763.56</v>
      </c>
      <c r="J56" s="2">
        <v>5.8</v>
      </c>
      <c r="K56" s="2">
        <v>244184</v>
      </c>
      <c r="L56" s="2">
        <v>133325</v>
      </c>
      <c r="M56" s="2">
        <v>377509</v>
      </c>
      <c r="N56" s="2">
        <v>21895.52</v>
      </c>
      <c r="O56" s="2">
        <v>1307.3</v>
      </c>
      <c r="P56" s="2">
        <v>288.77</v>
      </c>
      <c r="Q56" s="2">
        <v>5</v>
      </c>
      <c r="R56" s="2" t="s">
        <v>1922</v>
      </c>
      <c r="S56" s="2" t="s">
        <v>1914</v>
      </c>
    </row>
    <row r="57" spans="1:19" ht="24" x14ac:dyDescent="0.25">
      <c r="A57" s="3">
        <v>54</v>
      </c>
      <c r="B57" s="3">
        <v>2023</v>
      </c>
      <c r="C57" s="3" t="s">
        <v>1904</v>
      </c>
      <c r="D57" s="3" t="s">
        <v>154</v>
      </c>
      <c r="E57" s="3" t="s">
        <v>1913</v>
      </c>
      <c r="F57" s="3" t="s">
        <v>1292</v>
      </c>
      <c r="G57" s="3" t="s">
        <v>1902</v>
      </c>
      <c r="H57" s="3">
        <v>118.34</v>
      </c>
      <c r="I57" s="3">
        <v>2242.75</v>
      </c>
      <c r="J57" s="3">
        <v>5.28</v>
      </c>
      <c r="K57" s="3">
        <v>402007</v>
      </c>
      <c r="L57" s="3">
        <v>83561</v>
      </c>
      <c r="M57" s="3">
        <v>485568</v>
      </c>
      <c r="N57" s="3">
        <v>25637.99</v>
      </c>
      <c r="O57" s="3">
        <v>244.63</v>
      </c>
      <c r="P57" s="3">
        <v>1984.91</v>
      </c>
      <c r="Q57" s="3">
        <v>3</v>
      </c>
      <c r="R57" s="3" t="s">
        <v>894</v>
      </c>
      <c r="S57" s="3" t="s">
        <v>1903</v>
      </c>
    </row>
    <row r="58" spans="1:19" ht="24" x14ac:dyDescent="0.25">
      <c r="A58" s="2">
        <v>55</v>
      </c>
      <c r="B58" s="2">
        <v>2023</v>
      </c>
      <c r="C58" s="2" t="s">
        <v>1917</v>
      </c>
      <c r="D58" s="2" t="s">
        <v>54</v>
      </c>
      <c r="E58" s="2" t="s">
        <v>1913</v>
      </c>
      <c r="F58" s="2" t="s">
        <v>1292</v>
      </c>
      <c r="G58" s="2" t="s">
        <v>1902</v>
      </c>
      <c r="H58" s="2">
        <v>306.2</v>
      </c>
      <c r="I58" s="2">
        <v>3853.11</v>
      </c>
      <c r="J58" s="2">
        <v>7.95</v>
      </c>
      <c r="K58" s="2">
        <v>265289</v>
      </c>
      <c r="L58" s="2">
        <v>68549</v>
      </c>
      <c r="M58" s="2">
        <v>333838</v>
      </c>
      <c r="N58" s="2">
        <v>26540.12</v>
      </c>
      <c r="O58" s="2">
        <v>1392.31</v>
      </c>
      <c r="P58" s="2">
        <v>239.77</v>
      </c>
      <c r="Q58" s="2">
        <v>4</v>
      </c>
      <c r="R58" s="2" t="s">
        <v>1906</v>
      </c>
      <c r="S58" s="2" t="s">
        <v>1914</v>
      </c>
    </row>
    <row r="59" spans="1:19" ht="24" x14ac:dyDescent="0.25">
      <c r="A59" s="3">
        <v>56</v>
      </c>
      <c r="B59" s="3">
        <v>2023</v>
      </c>
      <c r="C59" s="3" t="s">
        <v>1900</v>
      </c>
      <c r="D59" s="3" t="s">
        <v>154</v>
      </c>
      <c r="E59" s="3" t="s">
        <v>1921</v>
      </c>
      <c r="F59" s="3" t="s">
        <v>1649</v>
      </c>
      <c r="G59" s="3" t="s">
        <v>1897</v>
      </c>
      <c r="H59" s="3">
        <v>224.09</v>
      </c>
      <c r="I59" s="3">
        <v>2064.88</v>
      </c>
      <c r="J59" s="3">
        <v>10.85</v>
      </c>
      <c r="K59" s="3">
        <v>105519</v>
      </c>
      <c r="L59" s="3">
        <v>65577</v>
      </c>
      <c r="M59" s="3">
        <v>171096</v>
      </c>
      <c r="N59" s="3">
        <v>18563.919999999998</v>
      </c>
      <c r="O59" s="3">
        <v>543.9</v>
      </c>
      <c r="P59" s="3">
        <v>314.57</v>
      </c>
      <c r="Q59" s="3">
        <v>5</v>
      </c>
      <c r="R59" s="3" t="s">
        <v>1922</v>
      </c>
      <c r="S59" s="3" t="s">
        <v>1899</v>
      </c>
    </row>
    <row r="60" spans="1:19" ht="24" x14ac:dyDescent="0.25">
      <c r="A60" s="2">
        <v>57</v>
      </c>
      <c r="B60" s="2">
        <v>2023</v>
      </c>
      <c r="C60" s="2" t="s">
        <v>1941</v>
      </c>
      <c r="D60" s="2" t="s">
        <v>70</v>
      </c>
      <c r="E60" s="2" t="s">
        <v>1916</v>
      </c>
      <c r="F60" s="2" t="s">
        <v>1936</v>
      </c>
      <c r="G60" s="2" t="s">
        <v>1902</v>
      </c>
      <c r="H60" s="2">
        <v>397.12</v>
      </c>
      <c r="I60" s="2">
        <v>5726.11</v>
      </c>
      <c r="J60" s="2">
        <v>6.94</v>
      </c>
      <c r="K60" s="2">
        <v>451026</v>
      </c>
      <c r="L60" s="2">
        <v>193112</v>
      </c>
      <c r="M60" s="2">
        <v>644138</v>
      </c>
      <c r="N60" s="2">
        <v>44703.18</v>
      </c>
      <c r="O60" s="2">
        <v>3705.46</v>
      </c>
      <c r="P60" s="2">
        <v>173.83</v>
      </c>
      <c r="Q60" s="2">
        <v>5</v>
      </c>
      <c r="R60" s="2" t="s">
        <v>1911</v>
      </c>
      <c r="S60" s="2" t="s">
        <v>1914</v>
      </c>
    </row>
    <row r="61" spans="1:19" ht="24" x14ac:dyDescent="0.25">
      <c r="A61" s="3">
        <v>58</v>
      </c>
      <c r="B61" s="3">
        <v>2023</v>
      </c>
      <c r="C61" s="3" t="s">
        <v>1907</v>
      </c>
      <c r="D61" s="3" t="s">
        <v>110</v>
      </c>
      <c r="E61" s="3" t="s">
        <v>1927</v>
      </c>
      <c r="F61" s="3" t="s">
        <v>71</v>
      </c>
      <c r="G61" s="3" t="s">
        <v>1902</v>
      </c>
      <c r="H61" s="3">
        <v>244.81</v>
      </c>
      <c r="I61" s="3">
        <v>2494.7199999999998</v>
      </c>
      <c r="J61" s="3">
        <v>9.81</v>
      </c>
      <c r="K61" s="3">
        <v>10679</v>
      </c>
      <c r="L61" s="3">
        <v>102437</v>
      </c>
      <c r="M61" s="3">
        <v>113116</v>
      </c>
      <c r="N61" s="3">
        <v>11096.68</v>
      </c>
      <c r="O61" s="3">
        <v>416.39</v>
      </c>
      <c r="P61" s="3">
        <v>271.66000000000003</v>
      </c>
      <c r="Q61" s="3">
        <v>4</v>
      </c>
      <c r="R61" s="3" t="s">
        <v>1898</v>
      </c>
      <c r="S61" s="3" t="s">
        <v>1899</v>
      </c>
    </row>
    <row r="62" spans="1:19" ht="24" x14ac:dyDescent="0.25">
      <c r="A62" s="2">
        <v>59</v>
      </c>
      <c r="B62" s="2">
        <v>2023</v>
      </c>
      <c r="C62" s="2" t="s">
        <v>1925</v>
      </c>
      <c r="D62" s="2" t="s">
        <v>92</v>
      </c>
      <c r="E62" s="2" t="s">
        <v>1918</v>
      </c>
      <c r="F62" s="2" t="s">
        <v>1936</v>
      </c>
      <c r="G62" s="2" t="s">
        <v>1909</v>
      </c>
      <c r="H62" s="2">
        <v>450.31</v>
      </c>
      <c r="I62" s="2">
        <v>8565.8700000000008</v>
      </c>
      <c r="J62" s="2">
        <v>5.26</v>
      </c>
      <c r="K62" s="2">
        <v>364186</v>
      </c>
      <c r="L62" s="2">
        <v>13852</v>
      </c>
      <c r="M62" s="2">
        <v>378038</v>
      </c>
      <c r="N62" s="2">
        <v>19884.8</v>
      </c>
      <c r="O62" s="2">
        <v>3192.53</v>
      </c>
      <c r="P62" s="2">
        <v>118.41</v>
      </c>
      <c r="Q62" s="2">
        <v>3</v>
      </c>
      <c r="R62" s="2" t="s">
        <v>1906</v>
      </c>
      <c r="S62" s="2" t="s">
        <v>1903</v>
      </c>
    </row>
    <row r="63" spans="1:19" ht="24" x14ac:dyDescent="0.25">
      <c r="A63" s="3">
        <v>60</v>
      </c>
      <c r="B63" s="3">
        <v>2023</v>
      </c>
      <c r="C63" s="3" t="s">
        <v>1929</v>
      </c>
      <c r="D63" s="3" t="s">
        <v>92</v>
      </c>
      <c r="E63" s="3" t="s">
        <v>1918</v>
      </c>
      <c r="F63" s="3" t="s">
        <v>1292</v>
      </c>
      <c r="G63" s="3" t="s">
        <v>1897</v>
      </c>
      <c r="H63" s="3">
        <v>124.05</v>
      </c>
      <c r="I63" s="3">
        <v>1638.92</v>
      </c>
      <c r="J63" s="3">
        <v>7.57</v>
      </c>
      <c r="K63" s="3">
        <v>164280</v>
      </c>
      <c r="L63" s="3">
        <v>165055</v>
      </c>
      <c r="M63" s="3">
        <v>329335</v>
      </c>
      <c r="N63" s="3">
        <v>24930.66</v>
      </c>
      <c r="O63" s="3">
        <v>717.5</v>
      </c>
      <c r="P63" s="3">
        <v>459</v>
      </c>
      <c r="Q63" s="3">
        <v>3</v>
      </c>
      <c r="R63" s="3" t="s">
        <v>894</v>
      </c>
      <c r="S63" s="3" t="s">
        <v>1899</v>
      </c>
    </row>
    <row r="64" spans="1:19" ht="24" x14ac:dyDescent="0.25">
      <c r="A64" s="2">
        <v>61</v>
      </c>
      <c r="B64" s="2">
        <v>2023</v>
      </c>
      <c r="C64" s="2" t="s">
        <v>1904</v>
      </c>
      <c r="D64" s="2" t="s">
        <v>96</v>
      </c>
      <c r="E64" s="2" t="s">
        <v>1908</v>
      </c>
      <c r="F64" s="2" t="s">
        <v>1936</v>
      </c>
      <c r="G64" s="2" t="s">
        <v>1909</v>
      </c>
      <c r="H64" s="2">
        <v>100.83</v>
      </c>
      <c r="I64" s="2">
        <v>1663.54</v>
      </c>
      <c r="J64" s="2">
        <v>6.06</v>
      </c>
      <c r="K64" s="2">
        <v>94909</v>
      </c>
      <c r="L64" s="2">
        <v>184780</v>
      </c>
      <c r="M64" s="2">
        <v>279689</v>
      </c>
      <c r="N64" s="2">
        <v>16949.150000000001</v>
      </c>
      <c r="O64" s="2">
        <v>870.96</v>
      </c>
      <c r="P64" s="2">
        <v>321.13</v>
      </c>
      <c r="Q64" s="2">
        <v>5</v>
      </c>
      <c r="R64" s="2" t="s">
        <v>894</v>
      </c>
      <c r="S64" s="2" t="s">
        <v>1903</v>
      </c>
    </row>
    <row r="65" spans="1:19" ht="24" x14ac:dyDescent="0.25">
      <c r="A65" s="3">
        <v>62</v>
      </c>
      <c r="B65" s="3">
        <v>2023</v>
      </c>
      <c r="C65" s="3" t="s">
        <v>1925</v>
      </c>
      <c r="D65" s="3" t="s">
        <v>110</v>
      </c>
      <c r="E65" s="3" t="s">
        <v>1918</v>
      </c>
      <c r="F65" s="3" t="s">
        <v>1896</v>
      </c>
      <c r="G65" s="3" t="s">
        <v>1909</v>
      </c>
      <c r="H65" s="3">
        <v>124.87</v>
      </c>
      <c r="I65" s="3">
        <v>1055.92</v>
      </c>
      <c r="J65" s="3">
        <v>11.83</v>
      </c>
      <c r="K65" s="3">
        <v>350622</v>
      </c>
      <c r="L65" s="3">
        <v>170614</v>
      </c>
      <c r="M65" s="3">
        <v>521236</v>
      </c>
      <c r="N65" s="3">
        <v>61662.22</v>
      </c>
      <c r="O65" s="3">
        <v>325.99</v>
      </c>
      <c r="P65" s="3">
        <v>1598.93</v>
      </c>
      <c r="Q65" s="3">
        <v>4</v>
      </c>
      <c r="R65" s="3" t="s">
        <v>1906</v>
      </c>
      <c r="S65" s="3" t="s">
        <v>1903</v>
      </c>
    </row>
    <row r="66" spans="1:19" ht="24" x14ac:dyDescent="0.25">
      <c r="A66" s="2">
        <v>63</v>
      </c>
      <c r="B66" s="2">
        <v>2023</v>
      </c>
      <c r="C66" s="2" t="s">
        <v>1934</v>
      </c>
      <c r="D66" s="2" t="s">
        <v>204</v>
      </c>
      <c r="E66" s="2" t="s">
        <v>1927</v>
      </c>
      <c r="F66" s="2" t="s">
        <v>71</v>
      </c>
      <c r="G66" s="2" t="s">
        <v>1897</v>
      </c>
      <c r="H66" s="2">
        <v>233</v>
      </c>
      <c r="I66" s="2">
        <v>4271.22</v>
      </c>
      <c r="J66" s="2">
        <v>5.46</v>
      </c>
      <c r="K66" s="2">
        <v>74660</v>
      </c>
      <c r="L66" s="2">
        <v>125365</v>
      </c>
      <c r="M66" s="2">
        <v>200025</v>
      </c>
      <c r="N66" s="2">
        <v>10921.36</v>
      </c>
      <c r="O66" s="2">
        <v>2087.2800000000002</v>
      </c>
      <c r="P66" s="2">
        <v>95.83</v>
      </c>
      <c r="Q66" s="2">
        <v>4</v>
      </c>
      <c r="R66" s="2" t="s">
        <v>1922</v>
      </c>
      <c r="S66" s="2" t="s">
        <v>1914</v>
      </c>
    </row>
    <row r="67" spans="1:19" ht="24" x14ac:dyDescent="0.25">
      <c r="A67" s="3">
        <v>64</v>
      </c>
      <c r="B67" s="3">
        <v>2023</v>
      </c>
      <c r="C67" s="3" t="s">
        <v>1931</v>
      </c>
      <c r="D67" s="3" t="s">
        <v>120</v>
      </c>
      <c r="E67" s="3" t="s">
        <v>1927</v>
      </c>
      <c r="F67" s="3" t="s">
        <v>1308</v>
      </c>
      <c r="G67" s="3" t="s">
        <v>1897</v>
      </c>
      <c r="H67" s="3">
        <v>353.44</v>
      </c>
      <c r="I67" s="3">
        <v>3494.34</v>
      </c>
      <c r="J67" s="3">
        <v>10.11</v>
      </c>
      <c r="K67" s="3">
        <v>82288</v>
      </c>
      <c r="L67" s="3">
        <v>26143</v>
      </c>
      <c r="M67" s="3">
        <v>108431</v>
      </c>
      <c r="N67" s="3">
        <v>10962.37</v>
      </c>
      <c r="O67" s="3">
        <v>2688.1</v>
      </c>
      <c r="P67" s="3">
        <v>40.340000000000003</v>
      </c>
      <c r="Q67" s="3">
        <v>3</v>
      </c>
      <c r="R67" s="3" t="s">
        <v>1911</v>
      </c>
      <c r="S67" s="3" t="s">
        <v>1903</v>
      </c>
    </row>
    <row r="68" spans="1:19" ht="24" x14ac:dyDescent="0.25">
      <c r="A68" s="2">
        <v>65</v>
      </c>
      <c r="B68" s="2">
        <v>2023</v>
      </c>
      <c r="C68" s="2" t="s">
        <v>1920</v>
      </c>
      <c r="D68" s="2" t="s">
        <v>88</v>
      </c>
      <c r="E68" s="2" t="s">
        <v>1908</v>
      </c>
      <c r="F68" s="2" t="s">
        <v>1635</v>
      </c>
      <c r="G68" s="2" t="s">
        <v>1897</v>
      </c>
      <c r="H68" s="2">
        <v>416.07</v>
      </c>
      <c r="I68" s="2">
        <v>3510.81</v>
      </c>
      <c r="J68" s="2">
        <v>11.85</v>
      </c>
      <c r="K68" s="2">
        <v>13707</v>
      </c>
      <c r="L68" s="2">
        <v>87135</v>
      </c>
      <c r="M68" s="2">
        <v>100842</v>
      </c>
      <c r="N68" s="2">
        <v>11949.78</v>
      </c>
      <c r="O68" s="2">
        <v>1147.05</v>
      </c>
      <c r="P68" s="2">
        <v>87.91</v>
      </c>
      <c r="Q68" s="2">
        <v>3</v>
      </c>
      <c r="R68" s="2" t="s">
        <v>894</v>
      </c>
      <c r="S68" s="2" t="s">
        <v>1899</v>
      </c>
    </row>
    <row r="69" spans="1:19" ht="24" x14ac:dyDescent="0.25">
      <c r="A69" s="3">
        <v>66</v>
      </c>
      <c r="B69" s="3">
        <v>2023</v>
      </c>
      <c r="C69" s="3" t="s">
        <v>1942</v>
      </c>
      <c r="D69" s="3" t="s">
        <v>110</v>
      </c>
      <c r="E69" s="3" t="s">
        <v>1913</v>
      </c>
      <c r="F69" s="3" t="s">
        <v>71</v>
      </c>
      <c r="G69" s="3" t="s">
        <v>1902</v>
      </c>
      <c r="H69" s="3">
        <v>20.65</v>
      </c>
      <c r="I69" s="3">
        <v>226.46</v>
      </c>
      <c r="J69" s="3">
        <v>9.1199999999999992</v>
      </c>
      <c r="K69" s="3">
        <v>361666</v>
      </c>
      <c r="L69" s="3">
        <v>142876</v>
      </c>
      <c r="M69" s="3">
        <v>504542</v>
      </c>
      <c r="N69" s="3">
        <v>46014.23</v>
      </c>
      <c r="O69" s="3">
        <v>101.38</v>
      </c>
      <c r="P69" s="3">
        <v>4976.74</v>
      </c>
      <c r="Q69" s="3">
        <v>2</v>
      </c>
      <c r="R69" s="3" t="s">
        <v>1911</v>
      </c>
      <c r="S69" s="3" t="s">
        <v>1914</v>
      </c>
    </row>
    <row r="70" spans="1:19" ht="24" x14ac:dyDescent="0.25">
      <c r="A70" s="2">
        <v>67</v>
      </c>
      <c r="B70" s="2">
        <v>2023</v>
      </c>
      <c r="C70" s="2" t="s">
        <v>1894</v>
      </c>
      <c r="D70" s="2" t="s">
        <v>33</v>
      </c>
      <c r="E70" s="2" t="s">
        <v>1901</v>
      </c>
      <c r="F70" s="2" t="s">
        <v>1896</v>
      </c>
      <c r="G70" s="2" t="s">
        <v>1902</v>
      </c>
      <c r="H70" s="2">
        <v>377.58</v>
      </c>
      <c r="I70" s="2">
        <v>7358.24</v>
      </c>
      <c r="J70" s="2">
        <v>5.13</v>
      </c>
      <c r="K70" s="2">
        <v>169741</v>
      </c>
      <c r="L70" s="2">
        <v>82822</v>
      </c>
      <c r="M70" s="2">
        <v>252563</v>
      </c>
      <c r="N70" s="2">
        <v>12956.48</v>
      </c>
      <c r="O70" s="2">
        <v>4603.28</v>
      </c>
      <c r="P70" s="2">
        <v>54.87</v>
      </c>
      <c r="Q70" s="2">
        <v>4</v>
      </c>
      <c r="R70" s="2" t="s">
        <v>1898</v>
      </c>
      <c r="S70" s="2" t="s">
        <v>1899</v>
      </c>
    </row>
    <row r="71" spans="1:19" ht="24" x14ac:dyDescent="0.25">
      <c r="A71" s="3">
        <v>68</v>
      </c>
      <c r="B71" s="3">
        <v>2023</v>
      </c>
      <c r="C71" s="3" t="s">
        <v>1943</v>
      </c>
      <c r="D71" s="3" t="s">
        <v>65</v>
      </c>
      <c r="E71" s="3" t="s">
        <v>1916</v>
      </c>
      <c r="F71" s="3" t="s">
        <v>1896</v>
      </c>
      <c r="G71" s="3" t="s">
        <v>1902</v>
      </c>
      <c r="H71" s="3">
        <v>78.34</v>
      </c>
      <c r="I71" s="3">
        <v>1310.05</v>
      </c>
      <c r="J71" s="3">
        <v>5.98</v>
      </c>
      <c r="K71" s="3">
        <v>407368</v>
      </c>
      <c r="L71" s="3">
        <v>89975</v>
      </c>
      <c r="M71" s="3">
        <v>497343</v>
      </c>
      <c r="N71" s="3">
        <v>29741.11</v>
      </c>
      <c r="O71" s="3">
        <v>236.69</v>
      </c>
      <c r="P71" s="3">
        <v>2101.2399999999998</v>
      </c>
      <c r="Q71" s="3">
        <v>5</v>
      </c>
      <c r="R71" s="3" t="s">
        <v>1906</v>
      </c>
      <c r="S71" s="3" t="s">
        <v>1914</v>
      </c>
    </row>
    <row r="72" spans="1:19" ht="24" x14ac:dyDescent="0.25">
      <c r="A72" s="2">
        <v>69</v>
      </c>
      <c r="B72" s="2">
        <v>2023</v>
      </c>
      <c r="C72" s="2" t="s">
        <v>1929</v>
      </c>
      <c r="D72" s="2" t="s">
        <v>54</v>
      </c>
      <c r="E72" s="2" t="s">
        <v>1913</v>
      </c>
      <c r="F72" s="2" t="s">
        <v>1308</v>
      </c>
      <c r="G72" s="2" t="s">
        <v>1897</v>
      </c>
      <c r="H72" s="2">
        <v>321.81</v>
      </c>
      <c r="I72" s="2">
        <v>4634.01</v>
      </c>
      <c r="J72" s="2">
        <v>6.94</v>
      </c>
      <c r="K72" s="2">
        <v>239868</v>
      </c>
      <c r="L72" s="2">
        <v>8914</v>
      </c>
      <c r="M72" s="2">
        <v>248782</v>
      </c>
      <c r="N72" s="2">
        <v>17265.47</v>
      </c>
      <c r="O72" s="2">
        <v>2923.92</v>
      </c>
      <c r="P72" s="2">
        <v>85.09</v>
      </c>
      <c r="Q72" s="2">
        <v>3</v>
      </c>
      <c r="R72" s="2" t="s">
        <v>1898</v>
      </c>
      <c r="S72" s="2" t="s">
        <v>1899</v>
      </c>
    </row>
    <row r="73" spans="1:19" ht="24" x14ac:dyDescent="0.25">
      <c r="A73" s="3">
        <v>70</v>
      </c>
      <c r="B73" s="3">
        <v>2023</v>
      </c>
      <c r="C73" s="3" t="s">
        <v>1917</v>
      </c>
      <c r="D73" s="3" t="s">
        <v>33</v>
      </c>
      <c r="E73" s="3" t="s">
        <v>1901</v>
      </c>
      <c r="F73" s="3" t="s">
        <v>71</v>
      </c>
      <c r="G73" s="3" t="s">
        <v>1909</v>
      </c>
      <c r="H73" s="3">
        <v>335.46</v>
      </c>
      <c r="I73" s="3">
        <v>622.69000000000005</v>
      </c>
      <c r="J73" s="3">
        <v>53.87</v>
      </c>
      <c r="K73" s="3">
        <v>383003</v>
      </c>
      <c r="L73" s="3">
        <v>98699</v>
      </c>
      <c r="M73" s="3">
        <v>481702</v>
      </c>
      <c r="N73" s="3">
        <v>259492.87</v>
      </c>
      <c r="O73" s="3">
        <v>354.15</v>
      </c>
      <c r="P73" s="3">
        <v>1360.16</v>
      </c>
      <c r="Q73" s="3">
        <v>2</v>
      </c>
      <c r="R73" s="3" t="s">
        <v>894</v>
      </c>
      <c r="S73" s="3" t="s">
        <v>1914</v>
      </c>
    </row>
    <row r="74" spans="1:19" ht="24" x14ac:dyDescent="0.25">
      <c r="A74" s="2">
        <v>71</v>
      </c>
      <c r="B74" s="2">
        <v>2023</v>
      </c>
      <c r="C74" s="2" t="s">
        <v>1935</v>
      </c>
      <c r="D74" s="2" t="s">
        <v>139</v>
      </c>
      <c r="E74" s="2" t="s">
        <v>1913</v>
      </c>
      <c r="F74" s="2" t="s">
        <v>1905</v>
      </c>
      <c r="G74" s="2" t="s">
        <v>1909</v>
      </c>
      <c r="H74" s="2">
        <v>105.21</v>
      </c>
      <c r="I74" s="2">
        <v>1292.05</v>
      </c>
      <c r="J74" s="2">
        <v>8.14</v>
      </c>
      <c r="K74" s="2">
        <v>4569</v>
      </c>
      <c r="L74" s="2">
        <v>140514</v>
      </c>
      <c r="M74" s="2">
        <v>145083</v>
      </c>
      <c r="N74" s="2">
        <v>11809.76</v>
      </c>
      <c r="O74" s="2">
        <v>655.21</v>
      </c>
      <c r="P74" s="2">
        <v>221.43</v>
      </c>
      <c r="Q74" s="2">
        <v>2</v>
      </c>
      <c r="R74" s="2" t="s">
        <v>894</v>
      </c>
      <c r="S74" s="2" t="s">
        <v>1914</v>
      </c>
    </row>
    <row r="75" spans="1:19" ht="24" x14ac:dyDescent="0.25">
      <c r="A75" s="3">
        <v>72</v>
      </c>
      <c r="B75" s="3">
        <v>2023</v>
      </c>
      <c r="C75" s="3" t="s">
        <v>1920</v>
      </c>
      <c r="D75" s="3" t="s">
        <v>54</v>
      </c>
      <c r="E75" s="3" t="s">
        <v>1916</v>
      </c>
      <c r="F75" s="3" t="s">
        <v>1649</v>
      </c>
      <c r="G75" s="3" t="s">
        <v>1902</v>
      </c>
      <c r="H75" s="3">
        <v>457.69</v>
      </c>
      <c r="I75" s="3">
        <v>6988.33</v>
      </c>
      <c r="J75" s="3">
        <v>6.55</v>
      </c>
      <c r="K75" s="3">
        <v>141427</v>
      </c>
      <c r="L75" s="3">
        <v>111474</v>
      </c>
      <c r="M75" s="3">
        <v>252901</v>
      </c>
      <c r="N75" s="3">
        <v>16565.02</v>
      </c>
      <c r="O75" s="3">
        <v>3197.97</v>
      </c>
      <c r="P75" s="3">
        <v>79.08</v>
      </c>
      <c r="Q75" s="3">
        <v>3</v>
      </c>
      <c r="R75" s="3" t="s">
        <v>1922</v>
      </c>
      <c r="S75" s="3" t="s">
        <v>1914</v>
      </c>
    </row>
    <row r="76" spans="1:19" ht="24" x14ac:dyDescent="0.25">
      <c r="A76" s="2">
        <v>73</v>
      </c>
      <c r="B76" s="2">
        <v>2023</v>
      </c>
      <c r="C76" s="2" t="s">
        <v>1934</v>
      </c>
      <c r="D76" s="2" t="s">
        <v>154</v>
      </c>
      <c r="E76" s="2" t="s">
        <v>1901</v>
      </c>
      <c r="F76" s="2" t="s">
        <v>1649</v>
      </c>
      <c r="G76" s="2" t="s">
        <v>1897</v>
      </c>
      <c r="H76" s="2">
        <v>164.2</v>
      </c>
      <c r="I76" s="2">
        <v>1037.1400000000001</v>
      </c>
      <c r="J76" s="2">
        <v>15.83</v>
      </c>
      <c r="K76" s="2">
        <v>60465</v>
      </c>
      <c r="L76" s="2">
        <v>57434</v>
      </c>
      <c r="M76" s="2">
        <v>117899</v>
      </c>
      <c r="N76" s="2">
        <v>18663.41</v>
      </c>
      <c r="O76" s="2">
        <v>124.64</v>
      </c>
      <c r="P76" s="2">
        <v>945.92</v>
      </c>
      <c r="Q76" s="2">
        <v>2</v>
      </c>
      <c r="R76" s="2" t="s">
        <v>1911</v>
      </c>
      <c r="S76" s="2" t="s">
        <v>1914</v>
      </c>
    </row>
    <row r="77" spans="1:19" ht="24" x14ac:dyDescent="0.25">
      <c r="A77" s="3">
        <v>74</v>
      </c>
      <c r="B77" s="3">
        <v>2023</v>
      </c>
      <c r="C77" s="3" t="s">
        <v>1941</v>
      </c>
      <c r="D77" s="3" t="s">
        <v>96</v>
      </c>
      <c r="E77" s="3" t="s">
        <v>1918</v>
      </c>
      <c r="F77" s="3" t="s">
        <v>1924</v>
      </c>
      <c r="G77" s="3" t="s">
        <v>1902</v>
      </c>
      <c r="H77" s="3">
        <v>21.79</v>
      </c>
      <c r="I77" s="3">
        <v>357.05</v>
      </c>
      <c r="J77" s="3">
        <v>6.1</v>
      </c>
      <c r="K77" s="3">
        <v>371664</v>
      </c>
      <c r="L77" s="3">
        <v>174910</v>
      </c>
      <c r="M77" s="3">
        <v>546574</v>
      </c>
      <c r="N77" s="3">
        <v>33341.01</v>
      </c>
      <c r="O77" s="3">
        <v>85.73</v>
      </c>
      <c r="P77" s="3">
        <v>6375.53</v>
      </c>
      <c r="Q77" s="3">
        <v>2</v>
      </c>
      <c r="R77" s="3" t="s">
        <v>894</v>
      </c>
      <c r="S77" s="3" t="s">
        <v>1903</v>
      </c>
    </row>
    <row r="78" spans="1:19" ht="24" x14ac:dyDescent="0.25">
      <c r="A78" s="2">
        <v>75</v>
      </c>
      <c r="B78" s="2">
        <v>2023</v>
      </c>
      <c r="C78" s="2" t="s">
        <v>1943</v>
      </c>
      <c r="D78" s="2" t="s">
        <v>65</v>
      </c>
      <c r="E78" s="2" t="s">
        <v>1901</v>
      </c>
      <c r="F78" s="2" t="s">
        <v>1896</v>
      </c>
      <c r="G78" s="2" t="s">
        <v>1897</v>
      </c>
      <c r="H78" s="2">
        <v>181.11</v>
      </c>
      <c r="I78" s="2">
        <v>453.83</v>
      </c>
      <c r="J78" s="2">
        <v>39.909999999999997</v>
      </c>
      <c r="K78" s="2">
        <v>313433</v>
      </c>
      <c r="L78" s="2">
        <v>113586</v>
      </c>
      <c r="M78" s="2">
        <v>427019</v>
      </c>
      <c r="N78" s="2">
        <v>170423.28</v>
      </c>
      <c r="O78" s="2">
        <v>326.33</v>
      </c>
      <c r="P78" s="2">
        <v>1308.55</v>
      </c>
      <c r="Q78" s="2">
        <v>1</v>
      </c>
      <c r="R78" s="2" t="s">
        <v>1911</v>
      </c>
      <c r="S78" s="2" t="s">
        <v>1914</v>
      </c>
    </row>
    <row r="79" spans="1:19" ht="24" x14ac:dyDescent="0.25">
      <c r="A79" s="3">
        <v>76</v>
      </c>
      <c r="B79" s="3">
        <v>2023</v>
      </c>
      <c r="C79" s="3" t="s">
        <v>1915</v>
      </c>
      <c r="D79" s="3" t="s">
        <v>58</v>
      </c>
      <c r="E79" s="3" t="s">
        <v>1913</v>
      </c>
      <c r="F79" s="3" t="s">
        <v>1937</v>
      </c>
      <c r="G79" s="3" t="s">
        <v>1897</v>
      </c>
      <c r="H79" s="3">
        <v>430.32</v>
      </c>
      <c r="I79" s="3">
        <v>2288.2399999999998</v>
      </c>
      <c r="J79" s="3">
        <v>18.809999999999999</v>
      </c>
      <c r="K79" s="3">
        <v>473451</v>
      </c>
      <c r="L79" s="3">
        <v>78020</v>
      </c>
      <c r="M79" s="3">
        <v>551471</v>
      </c>
      <c r="N79" s="3">
        <v>103731.7</v>
      </c>
      <c r="O79" s="3">
        <v>753.18</v>
      </c>
      <c r="P79" s="3">
        <v>732.19</v>
      </c>
      <c r="Q79" s="3">
        <v>4</v>
      </c>
      <c r="R79" s="3" t="s">
        <v>894</v>
      </c>
      <c r="S79" s="3" t="s">
        <v>1899</v>
      </c>
    </row>
    <row r="80" spans="1:19" ht="24" x14ac:dyDescent="0.25">
      <c r="A80" s="2">
        <v>77</v>
      </c>
      <c r="B80" s="2">
        <v>2023</v>
      </c>
      <c r="C80" s="2" t="s">
        <v>1938</v>
      </c>
      <c r="D80" s="2" t="s">
        <v>54</v>
      </c>
      <c r="E80" s="2" t="s">
        <v>1908</v>
      </c>
      <c r="F80" s="2" t="s">
        <v>1646</v>
      </c>
      <c r="G80" s="2" t="s">
        <v>1909</v>
      </c>
      <c r="H80" s="2">
        <v>143.38999999999999</v>
      </c>
      <c r="I80" s="2">
        <v>2832.73</v>
      </c>
      <c r="J80" s="2">
        <v>5.0599999999999996</v>
      </c>
      <c r="K80" s="2">
        <v>428822</v>
      </c>
      <c r="L80" s="2">
        <v>50079</v>
      </c>
      <c r="M80" s="2">
        <v>478901</v>
      </c>
      <c r="N80" s="2">
        <v>24232.39</v>
      </c>
      <c r="O80" s="2">
        <v>1505.48</v>
      </c>
      <c r="P80" s="2">
        <v>318.11</v>
      </c>
      <c r="Q80" s="2">
        <v>1</v>
      </c>
      <c r="R80" s="2" t="s">
        <v>1922</v>
      </c>
      <c r="S80" s="2" t="s">
        <v>1914</v>
      </c>
    </row>
    <row r="81" spans="1:19" ht="24" x14ac:dyDescent="0.25">
      <c r="A81" s="3">
        <v>78</v>
      </c>
      <c r="B81" s="3">
        <v>2023</v>
      </c>
      <c r="C81" s="3" t="s">
        <v>1925</v>
      </c>
      <c r="D81" s="3" t="s">
        <v>154</v>
      </c>
      <c r="E81" s="3" t="s">
        <v>1916</v>
      </c>
      <c r="F81" s="3" t="s">
        <v>1905</v>
      </c>
      <c r="G81" s="3" t="s">
        <v>1902</v>
      </c>
      <c r="H81" s="3">
        <v>152.41999999999999</v>
      </c>
      <c r="I81" s="3">
        <v>1304.1500000000001</v>
      </c>
      <c r="J81" s="3">
        <v>11.69</v>
      </c>
      <c r="K81" s="3">
        <v>284487</v>
      </c>
      <c r="L81" s="3">
        <v>32318</v>
      </c>
      <c r="M81" s="3">
        <v>316805</v>
      </c>
      <c r="N81" s="3">
        <v>37034.5</v>
      </c>
      <c r="O81" s="3">
        <v>179.29</v>
      </c>
      <c r="P81" s="3">
        <v>1767</v>
      </c>
      <c r="Q81" s="3">
        <v>3</v>
      </c>
      <c r="R81" s="3" t="s">
        <v>1906</v>
      </c>
      <c r="S81" s="3" t="s">
        <v>1903</v>
      </c>
    </row>
    <row r="82" spans="1:19" ht="24" x14ac:dyDescent="0.25">
      <c r="A82" s="2">
        <v>79</v>
      </c>
      <c r="B82" s="2">
        <v>2023</v>
      </c>
      <c r="C82" s="2" t="s">
        <v>1943</v>
      </c>
      <c r="D82" s="2" t="s">
        <v>204</v>
      </c>
      <c r="E82" s="2" t="s">
        <v>1916</v>
      </c>
      <c r="F82" s="2" t="s">
        <v>71</v>
      </c>
      <c r="G82" s="2" t="s">
        <v>1902</v>
      </c>
      <c r="H82" s="2">
        <v>209.33</v>
      </c>
      <c r="I82" s="2">
        <v>400.72</v>
      </c>
      <c r="J82" s="2">
        <v>52.24</v>
      </c>
      <c r="K82" s="2">
        <v>385451</v>
      </c>
      <c r="L82" s="2">
        <v>179755</v>
      </c>
      <c r="M82" s="2">
        <v>565206</v>
      </c>
      <c r="N82" s="2">
        <v>295263.61</v>
      </c>
      <c r="O82" s="2">
        <v>124.8</v>
      </c>
      <c r="P82" s="2">
        <v>4528.8900000000003</v>
      </c>
      <c r="Q82" s="2">
        <v>1</v>
      </c>
      <c r="R82" s="2" t="s">
        <v>1898</v>
      </c>
      <c r="S82" s="2" t="s">
        <v>1914</v>
      </c>
    </row>
    <row r="83" spans="1:19" ht="24" x14ac:dyDescent="0.25">
      <c r="A83" s="3">
        <v>80</v>
      </c>
      <c r="B83" s="3">
        <v>2023</v>
      </c>
      <c r="C83" s="3" t="s">
        <v>1923</v>
      </c>
      <c r="D83" s="3" t="s">
        <v>117</v>
      </c>
      <c r="E83" s="3" t="s">
        <v>1918</v>
      </c>
      <c r="F83" s="3" t="s">
        <v>1896</v>
      </c>
      <c r="G83" s="3" t="s">
        <v>1902</v>
      </c>
      <c r="H83" s="3">
        <v>8.16</v>
      </c>
      <c r="I83" s="3">
        <v>25.24</v>
      </c>
      <c r="J83" s="3">
        <v>32.33</v>
      </c>
      <c r="K83" s="3">
        <v>118167</v>
      </c>
      <c r="L83" s="3">
        <v>174023</v>
      </c>
      <c r="M83" s="3">
        <v>292190</v>
      </c>
      <c r="N83" s="3">
        <v>94465.03</v>
      </c>
      <c r="O83" s="3">
        <v>12.77</v>
      </c>
      <c r="P83" s="3">
        <v>22880.97</v>
      </c>
      <c r="Q83" s="3">
        <v>5</v>
      </c>
      <c r="R83" s="3" t="s">
        <v>1898</v>
      </c>
      <c r="S83" s="3" t="s">
        <v>1914</v>
      </c>
    </row>
    <row r="84" spans="1:19" ht="24" x14ac:dyDescent="0.25">
      <c r="A84" s="2">
        <v>81</v>
      </c>
      <c r="B84" s="2">
        <v>2023</v>
      </c>
      <c r="C84" s="2" t="s">
        <v>1894</v>
      </c>
      <c r="D84" s="2" t="s">
        <v>33</v>
      </c>
      <c r="E84" s="2" t="s">
        <v>1921</v>
      </c>
      <c r="F84" s="2" t="s">
        <v>1905</v>
      </c>
      <c r="G84" s="2" t="s">
        <v>1909</v>
      </c>
      <c r="H84" s="2">
        <v>365.99</v>
      </c>
      <c r="I84" s="2">
        <v>1586.92</v>
      </c>
      <c r="J84" s="2">
        <v>23.06</v>
      </c>
      <c r="K84" s="2">
        <v>33514</v>
      </c>
      <c r="L84" s="2">
        <v>135765</v>
      </c>
      <c r="M84" s="2">
        <v>169279</v>
      </c>
      <c r="N84" s="2">
        <v>39035.74</v>
      </c>
      <c r="O84" s="2">
        <v>191.9</v>
      </c>
      <c r="P84" s="2">
        <v>882.12</v>
      </c>
      <c r="Q84" s="2">
        <v>1</v>
      </c>
      <c r="R84" s="2" t="s">
        <v>894</v>
      </c>
      <c r="S84" s="2" t="s">
        <v>1914</v>
      </c>
    </row>
    <row r="85" spans="1:19" ht="24" x14ac:dyDescent="0.25">
      <c r="A85" s="3">
        <v>82</v>
      </c>
      <c r="B85" s="3">
        <v>2023</v>
      </c>
      <c r="C85" s="3" t="s">
        <v>1925</v>
      </c>
      <c r="D85" s="3" t="s">
        <v>92</v>
      </c>
      <c r="E85" s="3" t="s">
        <v>1918</v>
      </c>
      <c r="F85" s="3" t="s">
        <v>1896</v>
      </c>
      <c r="G85" s="3" t="s">
        <v>1902</v>
      </c>
      <c r="H85" s="3">
        <v>328.65</v>
      </c>
      <c r="I85" s="3">
        <v>6326.33</v>
      </c>
      <c r="J85" s="3">
        <v>5.19</v>
      </c>
      <c r="K85" s="3">
        <v>438312</v>
      </c>
      <c r="L85" s="3">
        <v>142125</v>
      </c>
      <c r="M85" s="3">
        <v>580437</v>
      </c>
      <c r="N85" s="3">
        <v>30124.68</v>
      </c>
      <c r="O85" s="3">
        <v>3816.1</v>
      </c>
      <c r="P85" s="3">
        <v>152.1</v>
      </c>
      <c r="Q85" s="3">
        <v>3</v>
      </c>
      <c r="R85" s="3" t="s">
        <v>1911</v>
      </c>
      <c r="S85" s="3" t="s">
        <v>1914</v>
      </c>
    </row>
    <row r="86" spans="1:19" ht="24" x14ac:dyDescent="0.25">
      <c r="A86" s="2">
        <v>83</v>
      </c>
      <c r="B86" s="2">
        <v>2023</v>
      </c>
      <c r="C86" s="2" t="s">
        <v>1939</v>
      </c>
      <c r="D86" s="2" t="s">
        <v>139</v>
      </c>
      <c r="E86" s="2" t="s">
        <v>1921</v>
      </c>
      <c r="F86" s="2" t="s">
        <v>1649</v>
      </c>
      <c r="G86" s="2" t="s">
        <v>1909</v>
      </c>
      <c r="H86" s="2">
        <v>345.15</v>
      </c>
      <c r="I86" s="2">
        <v>5692.06</v>
      </c>
      <c r="J86" s="2">
        <v>6.06</v>
      </c>
      <c r="K86" s="2">
        <v>497923</v>
      </c>
      <c r="L86" s="2">
        <v>9303</v>
      </c>
      <c r="M86" s="2">
        <v>507226</v>
      </c>
      <c r="N86" s="2">
        <v>30737.9</v>
      </c>
      <c r="O86" s="2">
        <v>2813.29</v>
      </c>
      <c r="P86" s="2">
        <v>180.3</v>
      </c>
      <c r="Q86" s="2">
        <v>1</v>
      </c>
      <c r="R86" s="2" t="s">
        <v>1922</v>
      </c>
      <c r="S86" s="2" t="s">
        <v>1903</v>
      </c>
    </row>
    <row r="87" spans="1:19" ht="24" x14ac:dyDescent="0.25">
      <c r="A87" s="3">
        <v>84</v>
      </c>
      <c r="B87" s="3">
        <v>2023</v>
      </c>
      <c r="C87" s="3" t="s">
        <v>1935</v>
      </c>
      <c r="D87" s="3" t="s">
        <v>96</v>
      </c>
      <c r="E87" s="3" t="s">
        <v>1901</v>
      </c>
      <c r="F87" s="3" t="s">
        <v>1308</v>
      </c>
      <c r="G87" s="3" t="s">
        <v>1909</v>
      </c>
      <c r="H87" s="3">
        <v>45.12</v>
      </c>
      <c r="I87" s="3">
        <v>374.27</v>
      </c>
      <c r="J87" s="3">
        <v>12.06</v>
      </c>
      <c r="K87" s="3">
        <v>410536</v>
      </c>
      <c r="L87" s="3">
        <v>109146</v>
      </c>
      <c r="M87" s="3">
        <v>519682</v>
      </c>
      <c r="N87" s="3">
        <v>62673.65</v>
      </c>
      <c r="O87" s="3">
        <v>135.22</v>
      </c>
      <c r="P87" s="3">
        <v>3843.23</v>
      </c>
      <c r="Q87" s="3">
        <v>3</v>
      </c>
      <c r="R87" s="3" t="s">
        <v>1922</v>
      </c>
      <c r="S87" s="3" t="s">
        <v>1903</v>
      </c>
    </row>
    <row r="88" spans="1:19" ht="24" x14ac:dyDescent="0.25">
      <c r="A88" s="2">
        <v>85</v>
      </c>
      <c r="B88" s="2">
        <v>2023</v>
      </c>
      <c r="C88" s="2" t="s">
        <v>1940</v>
      </c>
      <c r="D88" s="2" t="s">
        <v>92</v>
      </c>
      <c r="E88" s="2" t="s">
        <v>1921</v>
      </c>
      <c r="F88" s="2" t="s">
        <v>1635</v>
      </c>
      <c r="G88" s="2" t="s">
        <v>1902</v>
      </c>
      <c r="H88" s="2">
        <v>87.81</v>
      </c>
      <c r="I88" s="2">
        <v>784.4</v>
      </c>
      <c r="J88" s="2">
        <v>11.19</v>
      </c>
      <c r="K88" s="2">
        <v>234275</v>
      </c>
      <c r="L88" s="2">
        <v>69814</v>
      </c>
      <c r="M88" s="2">
        <v>304089</v>
      </c>
      <c r="N88" s="2">
        <v>34027.56</v>
      </c>
      <c r="O88" s="2">
        <v>239.02</v>
      </c>
      <c r="P88" s="2">
        <v>1272.23</v>
      </c>
      <c r="Q88" s="2">
        <v>4</v>
      </c>
      <c r="R88" s="2" t="s">
        <v>1922</v>
      </c>
      <c r="S88" s="2" t="s">
        <v>1903</v>
      </c>
    </row>
    <row r="89" spans="1:19" ht="24" x14ac:dyDescent="0.25">
      <c r="A89" s="3">
        <v>86</v>
      </c>
      <c r="B89" s="3">
        <v>2023</v>
      </c>
      <c r="C89" s="3" t="s">
        <v>1932</v>
      </c>
      <c r="D89" s="3" t="s">
        <v>92</v>
      </c>
      <c r="E89" s="3" t="s">
        <v>1901</v>
      </c>
      <c r="F89" s="3" t="s">
        <v>1924</v>
      </c>
      <c r="G89" s="3" t="s">
        <v>1902</v>
      </c>
      <c r="H89" s="3">
        <v>44.14</v>
      </c>
      <c r="I89" s="3">
        <v>272.97000000000003</v>
      </c>
      <c r="J89" s="3">
        <v>16.170000000000002</v>
      </c>
      <c r="K89" s="3">
        <v>69683</v>
      </c>
      <c r="L89" s="3">
        <v>184981</v>
      </c>
      <c r="M89" s="3">
        <v>254664</v>
      </c>
      <c r="N89" s="3">
        <v>41179.17</v>
      </c>
      <c r="O89" s="3">
        <v>150.63</v>
      </c>
      <c r="P89" s="3">
        <v>1690.66</v>
      </c>
      <c r="Q89" s="3">
        <v>2</v>
      </c>
      <c r="R89" s="3" t="s">
        <v>1906</v>
      </c>
      <c r="S89" s="3" t="s">
        <v>1903</v>
      </c>
    </row>
    <row r="90" spans="1:19" ht="24" x14ac:dyDescent="0.25">
      <c r="A90" s="2">
        <v>87</v>
      </c>
      <c r="B90" s="2">
        <v>2023</v>
      </c>
      <c r="C90" s="2" t="s">
        <v>1928</v>
      </c>
      <c r="D90" s="2" t="s">
        <v>110</v>
      </c>
      <c r="E90" s="2" t="s">
        <v>1913</v>
      </c>
      <c r="F90" s="2" t="s">
        <v>1924</v>
      </c>
      <c r="G90" s="2" t="s">
        <v>1909</v>
      </c>
      <c r="H90" s="2">
        <v>253.67</v>
      </c>
      <c r="I90" s="2">
        <v>4415.04</v>
      </c>
      <c r="J90" s="2">
        <v>5.75</v>
      </c>
      <c r="K90" s="2">
        <v>312906</v>
      </c>
      <c r="L90" s="2">
        <v>119959</v>
      </c>
      <c r="M90" s="2">
        <v>432865</v>
      </c>
      <c r="N90" s="2">
        <v>24889.74</v>
      </c>
      <c r="O90" s="2">
        <v>2111.04</v>
      </c>
      <c r="P90" s="2">
        <v>205.05</v>
      </c>
      <c r="Q90" s="2">
        <v>4</v>
      </c>
      <c r="R90" s="2" t="s">
        <v>1906</v>
      </c>
      <c r="S90" s="2" t="s">
        <v>1903</v>
      </c>
    </row>
    <row r="91" spans="1:19" ht="24" x14ac:dyDescent="0.25">
      <c r="A91" s="3">
        <v>88</v>
      </c>
      <c r="B91" s="3">
        <v>2023</v>
      </c>
      <c r="C91" s="3" t="s">
        <v>1943</v>
      </c>
      <c r="D91" s="3" t="s">
        <v>70</v>
      </c>
      <c r="E91" s="3" t="s">
        <v>1901</v>
      </c>
      <c r="F91" s="3" t="s">
        <v>1635</v>
      </c>
      <c r="G91" s="3" t="s">
        <v>1909</v>
      </c>
      <c r="H91" s="3">
        <v>440.48</v>
      </c>
      <c r="I91" s="3">
        <v>8732.2199999999993</v>
      </c>
      <c r="J91" s="3">
        <v>5.04</v>
      </c>
      <c r="K91" s="3">
        <v>272454</v>
      </c>
      <c r="L91" s="3">
        <v>104154</v>
      </c>
      <c r="M91" s="3">
        <v>376608</v>
      </c>
      <c r="N91" s="3">
        <v>18981.04</v>
      </c>
      <c r="O91" s="3">
        <v>4390.78</v>
      </c>
      <c r="P91" s="3">
        <v>85.77</v>
      </c>
      <c r="Q91" s="3">
        <v>2</v>
      </c>
      <c r="R91" s="3" t="s">
        <v>1922</v>
      </c>
      <c r="S91" s="3" t="s">
        <v>1903</v>
      </c>
    </row>
    <row r="92" spans="1:19" ht="24" x14ac:dyDescent="0.25">
      <c r="A92" s="2">
        <v>89</v>
      </c>
      <c r="B92" s="2">
        <v>2023</v>
      </c>
      <c r="C92" s="2" t="s">
        <v>1940</v>
      </c>
      <c r="D92" s="2" t="s">
        <v>54</v>
      </c>
      <c r="E92" s="2" t="s">
        <v>1895</v>
      </c>
      <c r="F92" s="2" t="s">
        <v>1919</v>
      </c>
      <c r="G92" s="2" t="s">
        <v>1902</v>
      </c>
      <c r="H92" s="2">
        <v>59.34</v>
      </c>
      <c r="I92" s="2">
        <v>892.43</v>
      </c>
      <c r="J92" s="2">
        <v>6.65</v>
      </c>
      <c r="K92" s="2">
        <v>398660</v>
      </c>
      <c r="L92" s="2">
        <v>109916</v>
      </c>
      <c r="M92" s="2">
        <v>508576</v>
      </c>
      <c r="N92" s="2">
        <v>33820.300000000003</v>
      </c>
      <c r="O92" s="2">
        <v>335.98</v>
      </c>
      <c r="P92" s="2">
        <v>1513.71</v>
      </c>
      <c r="Q92" s="2">
        <v>3</v>
      </c>
      <c r="R92" s="2" t="s">
        <v>1898</v>
      </c>
      <c r="S92" s="2" t="s">
        <v>1899</v>
      </c>
    </row>
    <row r="93" spans="1:19" ht="24" x14ac:dyDescent="0.25">
      <c r="A93" s="3">
        <v>90</v>
      </c>
      <c r="B93" s="3">
        <v>2023</v>
      </c>
      <c r="C93" s="3" t="s">
        <v>1907</v>
      </c>
      <c r="D93" s="3" t="s">
        <v>65</v>
      </c>
      <c r="E93" s="3" t="s">
        <v>1908</v>
      </c>
      <c r="F93" s="3" t="s">
        <v>1937</v>
      </c>
      <c r="G93" s="3" t="s">
        <v>1902</v>
      </c>
      <c r="H93" s="3">
        <v>376.03</v>
      </c>
      <c r="I93" s="3">
        <v>1304.4100000000001</v>
      </c>
      <c r="J93" s="3">
        <v>28.83</v>
      </c>
      <c r="K93" s="3">
        <v>320594</v>
      </c>
      <c r="L93" s="3">
        <v>91004</v>
      </c>
      <c r="M93" s="3">
        <v>411598</v>
      </c>
      <c r="N93" s="3">
        <v>118663.7</v>
      </c>
      <c r="O93" s="3">
        <v>892.27</v>
      </c>
      <c r="P93" s="3">
        <v>461.29</v>
      </c>
      <c r="Q93" s="3">
        <v>1</v>
      </c>
      <c r="R93" s="3" t="s">
        <v>1898</v>
      </c>
      <c r="S93" s="3" t="s">
        <v>1914</v>
      </c>
    </row>
    <row r="94" spans="1:19" ht="24" x14ac:dyDescent="0.25">
      <c r="A94" s="2">
        <v>91</v>
      </c>
      <c r="B94" s="2">
        <v>2023</v>
      </c>
      <c r="C94" s="2" t="s">
        <v>1925</v>
      </c>
      <c r="D94" s="2" t="s">
        <v>139</v>
      </c>
      <c r="E94" s="2" t="s">
        <v>1933</v>
      </c>
      <c r="F94" s="2" t="s">
        <v>1924</v>
      </c>
      <c r="G94" s="2" t="s">
        <v>1909</v>
      </c>
      <c r="H94" s="2">
        <v>458.01</v>
      </c>
      <c r="I94" s="2">
        <v>6575.35</v>
      </c>
      <c r="J94" s="2">
        <v>6.97</v>
      </c>
      <c r="K94" s="2">
        <v>153971</v>
      </c>
      <c r="L94" s="2">
        <v>151282</v>
      </c>
      <c r="M94" s="2">
        <v>305253</v>
      </c>
      <c r="N94" s="2">
        <v>21276.13</v>
      </c>
      <c r="O94" s="2">
        <v>2051.5100000000002</v>
      </c>
      <c r="P94" s="2">
        <v>148.79</v>
      </c>
      <c r="Q94" s="2">
        <v>1</v>
      </c>
      <c r="R94" s="2" t="s">
        <v>1906</v>
      </c>
      <c r="S94" s="2" t="s">
        <v>1914</v>
      </c>
    </row>
    <row r="95" spans="1:19" ht="24" x14ac:dyDescent="0.25">
      <c r="A95" s="3">
        <v>92</v>
      </c>
      <c r="B95" s="3">
        <v>2023</v>
      </c>
      <c r="C95" s="3" t="s">
        <v>1932</v>
      </c>
      <c r="D95" s="3" t="s">
        <v>24</v>
      </c>
      <c r="E95" s="3" t="s">
        <v>1895</v>
      </c>
      <c r="F95" s="3" t="s">
        <v>1292</v>
      </c>
      <c r="G95" s="3" t="s">
        <v>1902</v>
      </c>
      <c r="H95" s="3">
        <v>148.6</v>
      </c>
      <c r="I95" s="3">
        <v>792.2</v>
      </c>
      <c r="J95" s="3">
        <v>18.760000000000002</v>
      </c>
      <c r="K95" s="3">
        <v>414001</v>
      </c>
      <c r="L95" s="3">
        <v>136256</v>
      </c>
      <c r="M95" s="3">
        <v>550257</v>
      </c>
      <c r="N95" s="3">
        <v>103228.21</v>
      </c>
      <c r="O95" s="3">
        <v>116.39</v>
      </c>
      <c r="P95" s="3">
        <v>4727.7</v>
      </c>
      <c r="Q95" s="3">
        <v>4</v>
      </c>
      <c r="R95" s="3" t="s">
        <v>1906</v>
      </c>
      <c r="S95" s="3" t="s">
        <v>1899</v>
      </c>
    </row>
    <row r="96" spans="1:19" ht="24" x14ac:dyDescent="0.25">
      <c r="A96" s="2">
        <v>93</v>
      </c>
      <c r="B96" s="2">
        <v>2023</v>
      </c>
      <c r="C96" s="2" t="s">
        <v>1894</v>
      </c>
      <c r="D96" s="2" t="s">
        <v>154</v>
      </c>
      <c r="E96" s="2" t="s">
        <v>1908</v>
      </c>
      <c r="F96" s="2" t="s">
        <v>1635</v>
      </c>
      <c r="G96" s="2" t="s">
        <v>1897</v>
      </c>
      <c r="H96" s="2">
        <v>299.18</v>
      </c>
      <c r="I96" s="2">
        <v>2348.16</v>
      </c>
      <c r="J96" s="2">
        <v>12.74</v>
      </c>
      <c r="K96" s="2">
        <v>188083</v>
      </c>
      <c r="L96" s="2">
        <v>61105</v>
      </c>
      <c r="M96" s="2">
        <v>249188</v>
      </c>
      <c r="N96" s="2">
        <v>31746.55</v>
      </c>
      <c r="O96" s="2">
        <v>1252.7</v>
      </c>
      <c r="P96" s="2">
        <v>198.92</v>
      </c>
      <c r="Q96" s="2">
        <v>1</v>
      </c>
      <c r="R96" s="2" t="s">
        <v>1898</v>
      </c>
      <c r="S96" s="2" t="s">
        <v>1903</v>
      </c>
    </row>
    <row r="97" spans="1:19" ht="24" x14ac:dyDescent="0.25">
      <c r="A97" s="3">
        <v>94</v>
      </c>
      <c r="B97" s="3">
        <v>2023</v>
      </c>
      <c r="C97" s="3" t="s">
        <v>1907</v>
      </c>
      <c r="D97" s="3" t="s">
        <v>24</v>
      </c>
      <c r="E97" s="3" t="s">
        <v>1895</v>
      </c>
      <c r="F97" s="3" t="s">
        <v>1936</v>
      </c>
      <c r="G97" s="3" t="s">
        <v>1902</v>
      </c>
      <c r="H97" s="3">
        <v>176.4</v>
      </c>
      <c r="I97" s="3">
        <v>1099.32</v>
      </c>
      <c r="J97" s="3">
        <v>16.05</v>
      </c>
      <c r="K97" s="3">
        <v>237325</v>
      </c>
      <c r="L97" s="3">
        <v>159667</v>
      </c>
      <c r="M97" s="3">
        <v>396992</v>
      </c>
      <c r="N97" s="3">
        <v>63717.22</v>
      </c>
      <c r="O97" s="3">
        <v>689.32</v>
      </c>
      <c r="P97" s="3">
        <v>575.91999999999996</v>
      </c>
      <c r="Q97" s="3">
        <v>5</v>
      </c>
      <c r="R97" s="3" t="s">
        <v>1922</v>
      </c>
      <c r="S97" s="3" t="s">
        <v>1899</v>
      </c>
    </row>
    <row r="98" spans="1:19" ht="24" x14ac:dyDescent="0.25">
      <c r="A98" s="2">
        <v>95</v>
      </c>
      <c r="B98" s="2">
        <v>2023</v>
      </c>
      <c r="C98" s="2" t="s">
        <v>1894</v>
      </c>
      <c r="D98" s="2" t="s">
        <v>117</v>
      </c>
      <c r="E98" s="2" t="s">
        <v>1901</v>
      </c>
      <c r="F98" s="2" t="s">
        <v>71</v>
      </c>
      <c r="G98" s="2" t="s">
        <v>1909</v>
      </c>
      <c r="H98" s="2">
        <v>245.66</v>
      </c>
      <c r="I98" s="2">
        <v>492.69</v>
      </c>
      <c r="J98" s="2">
        <v>49.86</v>
      </c>
      <c r="K98" s="2">
        <v>20297</v>
      </c>
      <c r="L98" s="2">
        <v>97746</v>
      </c>
      <c r="M98" s="2">
        <v>118043</v>
      </c>
      <c r="N98" s="2">
        <v>58856.24</v>
      </c>
      <c r="O98" s="2">
        <v>361.69</v>
      </c>
      <c r="P98" s="2">
        <v>326.37</v>
      </c>
      <c r="Q98" s="2">
        <v>2</v>
      </c>
      <c r="R98" s="2" t="s">
        <v>1906</v>
      </c>
      <c r="S98" s="2" t="s">
        <v>1903</v>
      </c>
    </row>
    <row r="99" spans="1:19" ht="24" x14ac:dyDescent="0.25">
      <c r="A99" s="3">
        <v>96</v>
      </c>
      <c r="B99" s="3">
        <v>2023</v>
      </c>
      <c r="C99" s="3" t="s">
        <v>1923</v>
      </c>
      <c r="D99" s="3" t="s">
        <v>92</v>
      </c>
      <c r="E99" s="3" t="s">
        <v>1921</v>
      </c>
      <c r="F99" s="3" t="s">
        <v>1919</v>
      </c>
      <c r="G99" s="3" t="s">
        <v>1902</v>
      </c>
      <c r="H99" s="3">
        <v>190.55</v>
      </c>
      <c r="I99" s="3">
        <v>1475.16</v>
      </c>
      <c r="J99" s="3">
        <v>12.92</v>
      </c>
      <c r="K99" s="3">
        <v>302201</v>
      </c>
      <c r="L99" s="3">
        <v>94121</v>
      </c>
      <c r="M99" s="3">
        <v>396322</v>
      </c>
      <c r="N99" s="3">
        <v>51204.800000000003</v>
      </c>
      <c r="O99" s="3">
        <v>480.92</v>
      </c>
      <c r="P99" s="3">
        <v>824.09</v>
      </c>
      <c r="Q99" s="3">
        <v>4</v>
      </c>
      <c r="R99" s="3" t="s">
        <v>1906</v>
      </c>
      <c r="S99" s="3" t="s">
        <v>1914</v>
      </c>
    </row>
    <row r="100" spans="1:19" ht="24" x14ac:dyDescent="0.25">
      <c r="A100" s="2">
        <v>97</v>
      </c>
      <c r="B100" s="2">
        <v>2023</v>
      </c>
      <c r="C100" s="2" t="s">
        <v>1942</v>
      </c>
      <c r="D100" s="2" t="s">
        <v>139</v>
      </c>
      <c r="E100" s="2" t="s">
        <v>1913</v>
      </c>
      <c r="F100" s="2" t="s">
        <v>1916</v>
      </c>
      <c r="G100" s="2" t="s">
        <v>1897</v>
      </c>
      <c r="H100" s="2">
        <v>342.23</v>
      </c>
      <c r="I100" s="2">
        <v>4270.5</v>
      </c>
      <c r="J100" s="2">
        <v>8.01</v>
      </c>
      <c r="K100" s="2">
        <v>337946</v>
      </c>
      <c r="L100" s="2">
        <v>6133</v>
      </c>
      <c r="M100" s="2">
        <v>344079</v>
      </c>
      <c r="N100" s="2">
        <v>27560.73</v>
      </c>
      <c r="O100" s="2">
        <v>1940.54</v>
      </c>
      <c r="P100" s="2">
        <v>177.31</v>
      </c>
      <c r="Q100" s="2">
        <v>5</v>
      </c>
      <c r="R100" s="2" t="s">
        <v>1898</v>
      </c>
      <c r="S100" s="2" t="s">
        <v>1899</v>
      </c>
    </row>
    <row r="101" spans="1:19" ht="24" x14ac:dyDescent="0.25">
      <c r="A101" s="3">
        <v>98</v>
      </c>
      <c r="B101" s="3">
        <v>2023</v>
      </c>
      <c r="C101" s="3" t="s">
        <v>1932</v>
      </c>
      <c r="D101" s="3" t="s">
        <v>117</v>
      </c>
      <c r="E101" s="3" t="s">
        <v>1913</v>
      </c>
      <c r="F101" s="3" t="s">
        <v>1896</v>
      </c>
      <c r="G101" s="3" t="s">
        <v>1897</v>
      </c>
      <c r="H101" s="3">
        <v>327.2</v>
      </c>
      <c r="I101" s="3">
        <v>785.68</v>
      </c>
      <c r="J101" s="3">
        <v>41.65</v>
      </c>
      <c r="K101" s="3">
        <v>293245</v>
      </c>
      <c r="L101" s="3">
        <v>139794</v>
      </c>
      <c r="M101" s="3">
        <v>433039</v>
      </c>
      <c r="N101" s="3">
        <v>180360.74</v>
      </c>
      <c r="O101" s="3">
        <v>348.66</v>
      </c>
      <c r="P101" s="3">
        <v>1242.01</v>
      </c>
      <c r="Q101" s="3">
        <v>5</v>
      </c>
      <c r="R101" s="3" t="s">
        <v>1922</v>
      </c>
      <c r="S101" s="3" t="s">
        <v>1903</v>
      </c>
    </row>
    <row r="102" spans="1:19" ht="24" x14ac:dyDescent="0.25">
      <c r="A102" s="2">
        <v>99</v>
      </c>
      <c r="B102" s="2">
        <v>2023</v>
      </c>
      <c r="C102" s="2" t="s">
        <v>1938</v>
      </c>
      <c r="D102" s="2" t="s">
        <v>33</v>
      </c>
      <c r="E102" s="2" t="s">
        <v>1913</v>
      </c>
      <c r="F102" s="2" t="s">
        <v>1649</v>
      </c>
      <c r="G102" s="2" t="s">
        <v>1897</v>
      </c>
      <c r="H102" s="2">
        <v>55.73</v>
      </c>
      <c r="I102" s="2">
        <v>243.19</v>
      </c>
      <c r="J102" s="2">
        <v>22.92</v>
      </c>
      <c r="K102" s="2">
        <v>418850</v>
      </c>
      <c r="L102" s="2">
        <v>40225</v>
      </c>
      <c r="M102" s="2">
        <v>459075</v>
      </c>
      <c r="N102" s="2">
        <v>105219.99</v>
      </c>
      <c r="O102" s="2">
        <v>107.09</v>
      </c>
      <c r="P102" s="2">
        <v>4286.8100000000004</v>
      </c>
      <c r="Q102" s="2">
        <v>1</v>
      </c>
      <c r="R102" s="2" t="s">
        <v>1922</v>
      </c>
      <c r="S102" s="2" t="s">
        <v>1914</v>
      </c>
    </row>
    <row r="103" spans="1:19" ht="24" x14ac:dyDescent="0.25">
      <c r="A103" s="3">
        <v>100</v>
      </c>
      <c r="B103" s="3">
        <v>2023</v>
      </c>
      <c r="C103" s="3" t="s">
        <v>1917</v>
      </c>
      <c r="D103" s="3" t="s">
        <v>70</v>
      </c>
      <c r="E103" s="3" t="s">
        <v>1933</v>
      </c>
      <c r="F103" s="3" t="s">
        <v>71</v>
      </c>
      <c r="G103" s="3" t="s">
        <v>1909</v>
      </c>
      <c r="H103" s="3">
        <v>112.49</v>
      </c>
      <c r="I103" s="3">
        <v>1970.03</v>
      </c>
      <c r="J103" s="3">
        <v>5.71</v>
      </c>
      <c r="K103" s="3">
        <v>292201</v>
      </c>
      <c r="L103" s="3">
        <v>98924</v>
      </c>
      <c r="M103" s="3">
        <v>391125</v>
      </c>
      <c r="N103" s="3">
        <v>22333.24</v>
      </c>
      <c r="O103" s="3">
        <v>1181.3900000000001</v>
      </c>
      <c r="P103" s="3">
        <v>331.07</v>
      </c>
      <c r="Q103" s="3">
        <v>2</v>
      </c>
      <c r="R103" s="3" t="s">
        <v>1911</v>
      </c>
      <c r="S103" s="3" t="s">
        <v>1899</v>
      </c>
    </row>
  </sheetData>
  <autoFilter ref="A3:S3" xr:uid="{00000000-0009-0000-0000-00000E000000}"/>
  <mergeCells count="2">
    <mergeCell ref="A1:P1"/>
    <mergeCell ref="A2:P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0000"/>
  </sheetPr>
  <dimension ref="A1:I20"/>
  <sheetViews>
    <sheetView showGridLines="0" topLeftCell="E1" workbookViewId="0">
      <pane ySplit="4" topLeftCell="A5" activePane="bottomLeft" state="frozen"/>
      <selection pane="bottomLeft" sqref="A1:I1"/>
    </sheetView>
  </sheetViews>
  <sheetFormatPr defaultRowHeight="15" x14ac:dyDescent="0.25"/>
  <cols>
    <col min="1" max="1" width="6" customWidth="1"/>
    <col min="2" max="2" width="28" customWidth="1"/>
    <col min="3" max="3" width="14" customWidth="1"/>
    <col min="4" max="4" width="26" customWidth="1"/>
    <col min="5" max="5" width="70" customWidth="1"/>
    <col min="6" max="6" width="90" customWidth="1"/>
    <col min="7" max="8" width="40" customWidth="1"/>
    <col min="9" max="9" width="28" customWidth="1"/>
  </cols>
  <sheetData>
    <row r="1" spans="1:9" ht="32.1" customHeight="1" x14ac:dyDescent="0.25">
      <c r="A1" s="30" t="s">
        <v>1944</v>
      </c>
      <c r="B1" s="28"/>
      <c r="C1" s="28"/>
      <c r="D1" s="28"/>
      <c r="E1" s="28"/>
      <c r="F1" s="28"/>
      <c r="G1" s="28"/>
      <c r="H1" s="28"/>
      <c r="I1" s="28"/>
    </row>
    <row r="2" spans="1:9" ht="16.149999999999999" customHeight="1" x14ac:dyDescent="0.25">
      <c r="A2" s="29" t="s">
        <v>1945</v>
      </c>
      <c r="B2" s="28"/>
      <c r="C2" s="28"/>
      <c r="D2" s="28"/>
      <c r="E2" s="28"/>
      <c r="F2" s="28"/>
      <c r="G2" s="28"/>
      <c r="H2" s="28"/>
      <c r="I2" s="28"/>
    </row>
    <row r="3" spans="1:9" ht="6" customHeight="1" x14ac:dyDescent="0.25"/>
    <row r="4" spans="1:9" ht="22.15" customHeight="1" x14ac:dyDescent="0.25">
      <c r="A4" s="4" t="s">
        <v>1946</v>
      </c>
      <c r="B4" s="4" t="s">
        <v>1947</v>
      </c>
      <c r="C4" s="4" t="s">
        <v>1948</v>
      </c>
      <c r="D4" s="4" t="s">
        <v>1949</v>
      </c>
      <c r="E4" s="4" t="s">
        <v>1950</v>
      </c>
      <c r="F4" s="4" t="s">
        <v>1951</v>
      </c>
      <c r="G4" s="4" t="s">
        <v>1952</v>
      </c>
      <c r="H4" s="4" t="s">
        <v>1953</v>
      </c>
      <c r="I4" s="4" t="s">
        <v>1954</v>
      </c>
    </row>
    <row r="5" spans="1:9" ht="120" customHeight="1" x14ac:dyDescent="0.25">
      <c r="A5" s="5">
        <v>1</v>
      </c>
      <c r="B5" s="6" t="s">
        <v>1955</v>
      </c>
      <c r="C5" s="7" t="s">
        <v>1956</v>
      </c>
      <c r="D5" s="7" t="s">
        <v>1957</v>
      </c>
      <c r="E5" s="7" t="s">
        <v>1958</v>
      </c>
      <c r="F5" s="7" t="s">
        <v>1959</v>
      </c>
      <c r="G5" s="7" t="s">
        <v>1960</v>
      </c>
      <c r="H5" s="7" t="s">
        <v>1961</v>
      </c>
      <c r="I5" s="7" t="s">
        <v>1962</v>
      </c>
    </row>
    <row r="6" spans="1:9" ht="120" customHeight="1" x14ac:dyDescent="0.25">
      <c r="A6" s="8">
        <v>2</v>
      </c>
      <c r="B6" s="9" t="s">
        <v>1963</v>
      </c>
      <c r="C6" s="10" t="s">
        <v>1956</v>
      </c>
      <c r="D6" s="10" t="s">
        <v>1964</v>
      </c>
      <c r="E6" s="10" t="s">
        <v>1965</v>
      </c>
      <c r="F6" s="10" t="s">
        <v>1966</v>
      </c>
      <c r="G6" s="10" t="s">
        <v>1967</v>
      </c>
      <c r="H6" s="10" t="s">
        <v>1968</v>
      </c>
      <c r="I6" s="10" t="s">
        <v>1969</v>
      </c>
    </row>
    <row r="7" spans="1:9" ht="120" customHeight="1" x14ac:dyDescent="0.25">
      <c r="A7" s="5">
        <v>3</v>
      </c>
      <c r="B7" s="6" t="s">
        <v>1970</v>
      </c>
      <c r="C7" s="7" t="s">
        <v>1956</v>
      </c>
      <c r="D7" s="7" t="s">
        <v>1971</v>
      </c>
      <c r="E7" s="7" t="s">
        <v>1972</v>
      </c>
      <c r="F7" s="7" t="s">
        <v>1973</v>
      </c>
      <c r="G7" s="7" t="s">
        <v>1974</v>
      </c>
      <c r="H7" s="7" t="s">
        <v>1975</v>
      </c>
      <c r="I7" s="7" t="s">
        <v>1976</v>
      </c>
    </row>
    <row r="8" spans="1:9" ht="120" customHeight="1" x14ac:dyDescent="0.25">
      <c r="A8" s="8">
        <v>4</v>
      </c>
      <c r="B8" s="9" t="s">
        <v>1977</v>
      </c>
      <c r="C8" s="10" t="s">
        <v>1956</v>
      </c>
      <c r="D8" s="10" t="s">
        <v>1978</v>
      </c>
      <c r="E8" s="10" t="s">
        <v>1979</v>
      </c>
      <c r="F8" s="10" t="s">
        <v>1980</v>
      </c>
      <c r="G8" s="10" t="s">
        <v>1981</v>
      </c>
      <c r="H8" s="10" t="s">
        <v>1982</v>
      </c>
      <c r="I8" s="10" t="s">
        <v>1983</v>
      </c>
    </row>
    <row r="9" spans="1:9" ht="120" customHeight="1" x14ac:dyDescent="0.25">
      <c r="A9" s="5">
        <v>5</v>
      </c>
      <c r="B9" s="6" t="s">
        <v>1984</v>
      </c>
      <c r="C9" s="7" t="s">
        <v>1956</v>
      </c>
      <c r="D9" s="7" t="s">
        <v>1985</v>
      </c>
      <c r="E9" s="7" t="s">
        <v>1986</v>
      </c>
      <c r="F9" s="7" t="s">
        <v>1987</v>
      </c>
      <c r="G9" s="7" t="s">
        <v>1988</v>
      </c>
      <c r="H9" s="7" t="s">
        <v>1989</v>
      </c>
      <c r="I9" s="7" t="s">
        <v>1990</v>
      </c>
    </row>
    <row r="10" spans="1:9" ht="120" customHeight="1" x14ac:dyDescent="0.25">
      <c r="A10" s="8">
        <v>6</v>
      </c>
      <c r="B10" s="9" t="s">
        <v>1991</v>
      </c>
      <c r="C10" s="10" t="s">
        <v>1956</v>
      </c>
      <c r="D10" s="10" t="s">
        <v>1992</v>
      </c>
      <c r="E10" s="10" t="s">
        <v>1993</v>
      </c>
      <c r="F10" s="10" t="s">
        <v>1994</v>
      </c>
      <c r="G10" s="10" t="s">
        <v>1995</v>
      </c>
      <c r="H10" s="10" t="s">
        <v>1996</v>
      </c>
      <c r="I10" s="10" t="s">
        <v>1997</v>
      </c>
    </row>
    <row r="11" spans="1:9" ht="120" customHeight="1" x14ac:dyDescent="0.25">
      <c r="A11" s="5">
        <v>7</v>
      </c>
      <c r="B11" s="6" t="s">
        <v>1998</v>
      </c>
      <c r="C11" s="7" t="s">
        <v>1956</v>
      </c>
      <c r="D11" s="7" t="s">
        <v>1999</v>
      </c>
      <c r="E11" s="7" t="s">
        <v>2000</v>
      </c>
      <c r="F11" s="7" t="s">
        <v>2001</v>
      </c>
      <c r="G11" s="7" t="s">
        <v>2002</v>
      </c>
      <c r="H11" s="7" t="s">
        <v>2003</v>
      </c>
      <c r="I11" s="7" t="s">
        <v>2004</v>
      </c>
    </row>
    <row r="12" spans="1:9" ht="120" customHeight="1" x14ac:dyDescent="0.25">
      <c r="A12" s="8">
        <v>8</v>
      </c>
      <c r="B12" s="9" t="s">
        <v>2005</v>
      </c>
      <c r="C12" s="10" t="s">
        <v>1956</v>
      </c>
      <c r="D12" s="10" t="s">
        <v>2006</v>
      </c>
      <c r="E12" s="10" t="s">
        <v>2007</v>
      </c>
      <c r="F12" s="10" t="s">
        <v>2008</v>
      </c>
      <c r="G12" s="10" t="s">
        <v>2009</v>
      </c>
      <c r="H12" s="10" t="s">
        <v>2010</v>
      </c>
      <c r="I12" s="10" t="s">
        <v>2011</v>
      </c>
    </row>
    <row r="13" spans="1:9" ht="120" customHeight="1" x14ac:dyDescent="0.25">
      <c r="A13" s="5">
        <v>9</v>
      </c>
      <c r="B13" s="6" t="s">
        <v>2012</v>
      </c>
      <c r="C13" s="7" t="s">
        <v>2013</v>
      </c>
      <c r="D13" s="7" t="s">
        <v>2014</v>
      </c>
      <c r="E13" s="7" t="s">
        <v>2015</v>
      </c>
      <c r="F13" s="7" t="s">
        <v>2016</v>
      </c>
      <c r="G13" s="7" t="s">
        <v>2017</v>
      </c>
      <c r="H13" s="7" t="s">
        <v>2018</v>
      </c>
      <c r="I13" s="7" t="s">
        <v>2019</v>
      </c>
    </row>
    <row r="14" spans="1:9" ht="120" customHeight="1" x14ac:dyDescent="0.25">
      <c r="A14" s="8">
        <v>10</v>
      </c>
      <c r="B14" s="9" t="s">
        <v>2020</v>
      </c>
      <c r="C14" s="10" t="s">
        <v>2013</v>
      </c>
      <c r="D14" s="10" t="s">
        <v>2021</v>
      </c>
      <c r="E14" s="10" t="s">
        <v>2022</v>
      </c>
      <c r="F14" s="10" t="s">
        <v>2023</v>
      </c>
      <c r="G14" s="10" t="s">
        <v>2024</v>
      </c>
      <c r="H14" s="10" t="s">
        <v>2025</v>
      </c>
      <c r="I14" s="10" t="s">
        <v>2026</v>
      </c>
    </row>
    <row r="15" spans="1:9" ht="120" customHeight="1" x14ac:dyDescent="0.25">
      <c r="A15" s="5">
        <v>11</v>
      </c>
      <c r="B15" s="6" t="s">
        <v>2027</v>
      </c>
      <c r="C15" s="7" t="s">
        <v>2013</v>
      </c>
      <c r="D15" s="7" t="s">
        <v>2028</v>
      </c>
      <c r="E15" s="7" t="s">
        <v>2029</v>
      </c>
      <c r="F15" s="7" t="s">
        <v>2030</v>
      </c>
      <c r="G15" s="7" t="s">
        <v>2031</v>
      </c>
      <c r="H15" s="7" t="s">
        <v>2032</v>
      </c>
      <c r="I15" s="7" t="s">
        <v>2033</v>
      </c>
    </row>
    <row r="16" spans="1:9" ht="120" customHeight="1" x14ac:dyDescent="0.25">
      <c r="A16" s="8">
        <v>12</v>
      </c>
      <c r="B16" s="9" t="s">
        <v>2034</v>
      </c>
      <c r="C16" s="10" t="s">
        <v>2013</v>
      </c>
      <c r="D16" s="10" t="s">
        <v>2035</v>
      </c>
      <c r="E16" s="10" t="s">
        <v>2036</v>
      </c>
      <c r="F16" s="10" t="s">
        <v>2037</v>
      </c>
      <c r="G16" s="10" t="s">
        <v>2038</v>
      </c>
      <c r="H16" s="10" t="s">
        <v>2039</v>
      </c>
      <c r="I16" s="10" t="s">
        <v>2040</v>
      </c>
    </row>
    <row r="17" spans="1:9" ht="120" customHeight="1" x14ac:dyDescent="0.25">
      <c r="A17" s="5">
        <v>13</v>
      </c>
      <c r="B17" s="6" t="s">
        <v>2041</v>
      </c>
      <c r="C17" s="7" t="s">
        <v>2013</v>
      </c>
      <c r="D17" s="7" t="s">
        <v>2042</v>
      </c>
      <c r="E17" s="7" t="s">
        <v>2043</v>
      </c>
      <c r="F17" s="7" t="s">
        <v>2044</v>
      </c>
      <c r="G17" s="7" t="s">
        <v>2009</v>
      </c>
      <c r="H17" s="7" t="s">
        <v>2045</v>
      </c>
      <c r="I17" s="7" t="s">
        <v>2046</v>
      </c>
    </row>
    <row r="18" spans="1:9" ht="120" customHeight="1" x14ac:dyDescent="0.25">
      <c r="A18" s="8">
        <v>14</v>
      </c>
      <c r="B18" s="9" t="s">
        <v>2047</v>
      </c>
      <c r="C18" s="10" t="s">
        <v>2013</v>
      </c>
      <c r="D18" s="10" t="s">
        <v>2048</v>
      </c>
      <c r="E18" s="10" t="s">
        <v>2049</v>
      </c>
      <c r="F18" s="10" t="s">
        <v>2050</v>
      </c>
      <c r="G18" s="10" t="s">
        <v>2051</v>
      </c>
      <c r="H18" s="10" t="s">
        <v>2052</v>
      </c>
      <c r="I18" s="10" t="s">
        <v>2053</v>
      </c>
    </row>
    <row r="19" spans="1:9" ht="120" customHeight="1" x14ac:dyDescent="0.25">
      <c r="A19" s="5">
        <v>15</v>
      </c>
      <c r="B19" s="6" t="s">
        <v>2054</v>
      </c>
      <c r="C19" s="7" t="s">
        <v>2013</v>
      </c>
      <c r="D19" s="7" t="s">
        <v>2055</v>
      </c>
      <c r="E19" s="7" t="s">
        <v>2056</v>
      </c>
      <c r="F19" s="7" t="s">
        <v>2057</v>
      </c>
      <c r="G19" s="7" t="s">
        <v>2058</v>
      </c>
      <c r="H19" s="7" t="s">
        <v>2059</v>
      </c>
      <c r="I19" s="7" t="s">
        <v>2060</v>
      </c>
    </row>
    <row r="20" spans="1:9" ht="20.100000000000001" customHeight="1" x14ac:dyDescent="0.25">
      <c r="A20" s="31" t="s">
        <v>2061</v>
      </c>
      <c r="B20" s="28"/>
      <c r="C20" s="28"/>
      <c r="D20" s="28"/>
      <c r="E20" s="28"/>
      <c r="F20" s="28"/>
      <c r="G20" s="28"/>
      <c r="H20" s="28"/>
      <c r="I20" s="28"/>
    </row>
  </sheetData>
  <mergeCells count="3">
    <mergeCell ref="A1:I1"/>
    <mergeCell ref="A20:I20"/>
    <mergeCell ref="A2:I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Exec Summary</vt:lpstr>
      <vt:lpstr>Cat 1 – Purchased Goods &amp; Se</vt:lpstr>
      <vt:lpstr>Cat 2 – Capital Goods</vt:lpstr>
      <vt:lpstr>Cat 3 – Fuel- and Energy-Rel</vt:lpstr>
      <vt:lpstr>Cat 4 – Upstream Transportat</vt:lpstr>
      <vt:lpstr>Cat 5 – Waste Generated in O</vt:lpstr>
      <vt:lpstr>Cat 6 – Business Travel</vt:lpstr>
      <vt:lpstr>Cat 7 – Employee Commuting</vt:lpstr>
      <vt:lpstr>Cat 8 – Upstream Leased Asse</vt:lpstr>
      <vt:lpstr>Cat 9 – Downstream Transport</vt:lpstr>
      <vt:lpstr>Cat 10 – Processing of Sold P</vt:lpstr>
      <vt:lpstr>Cat 11 – Use of Sold Products</vt:lpstr>
      <vt:lpstr>Cat 12 – End-of-Life Treatmen</vt:lpstr>
      <vt:lpstr>Cat 13 – Downstream Leased As</vt:lpstr>
      <vt:lpstr>Cat 14 – Franchises</vt:lpstr>
      <vt:lpstr>Cat 15 – Investments</vt:lpstr>
      <vt:lpstr>Summary – Definitions &amp;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Charity Ngari</cp:lastModifiedBy>
  <dcterms:created xsi:type="dcterms:W3CDTF">2026-05-02T15:23:45Z</dcterms:created>
  <dcterms:modified xsi:type="dcterms:W3CDTF">2026-09-24T16:07:59Z</dcterms:modified>
</cp:coreProperties>
</file>